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thy\Documents\DOC\QF-UniBo\TESI\master-thesis\"/>
    </mc:Choice>
  </mc:AlternateContent>
  <xr:revisionPtr revIDLastSave="0" documentId="13_ncr:1_{D2E6A4E9-657F-4A78-863E-EFC83BC2D5A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Original" sheetId="31" r:id="rId1"/>
    <sheet name="SSP119" sheetId="24" r:id="rId2"/>
    <sheet name="SSP126" sheetId="33" r:id="rId3"/>
    <sheet name="SSP245" sheetId="34" r:id="rId4"/>
    <sheet name="SSP370" sheetId="35" r:id="rId5"/>
    <sheet name="SSP585" sheetId="36" r:id="rId6"/>
    <sheet name="Scenarios" sheetId="29" r:id="rId7"/>
  </sheets>
  <functionGroups builtInGroupCount="19"/>
  <definedNames>
    <definedName name="solver_adj" localSheetId="1" hidden="1">'SSP119'!$G$3:$G$122</definedName>
    <definedName name="solver_adj" localSheetId="2" hidden="1">'SSP126'!$G$3:$G$122</definedName>
    <definedName name="solver_adj" localSheetId="3" hidden="1">'SSP245'!$G$3:$G$122</definedName>
    <definedName name="solver_adj" localSheetId="4" hidden="1">'SSP370'!$G$3:$G$122</definedName>
    <definedName name="solver_adj" localSheetId="5" hidden="1">'SSP585'!$G$3:$G$122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4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5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6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lhs1" localSheetId="1" hidden="1">'SSP119'!$K$2</definedName>
    <definedName name="solver_lhs1" localSheetId="2" hidden="1">'SSP126'!$K$2</definedName>
    <definedName name="solver_lhs1" localSheetId="3" hidden="1">'SSP245'!$K$2</definedName>
    <definedName name="solver_lhs1" localSheetId="4" hidden="1">'SSP370'!$K$2</definedName>
    <definedName name="solver_lhs1" localSheetId="5" hidden="1">'SSP585'!$K$2</definedName>
    <definedName name="solver_lhs2" localSheetId="1" hidden="1">'SSP119'!$K$42</definedName>
    <definedName name="solver_lhs2" localSheetId="2" hidden="1">'SSP126'!$K$42</definedName>
    <definedName name="solver_lhs2" localSheetId="3" hidden="1">'SSP245'!$K$42</definedName>
    <definedName name="solver_lhs2" localSheetId="4" hidden="1">'SSP370'!$K$42</definedName>
    <definedName name="solver_lhs2" localSheetId="5" hidden="1">'SSP585'!$K$42</definedName>
    <definedName name="solver_lhs3" localSheetId="1" hidden="1">'SSP119'!$K$82</definedName>
    <definedName name="solver_lhs3" localSheetId="2" hidden="1">'SSP126'!$K$82</definedName>
    <definedName name="solver_lhs3" localSheetId="3" hidden="1">'SSP245'!$K$82</definedName>
    <definedName name="solver_lhs3" localSheetId="4" hidden="1">'SSP370'!$K$82</definedName>
    <definedName name="solver_lhs3" localSheetId="5" hidden="1">'SSP585'!$K$82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neg" localSheetId="6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6" hidden="1">0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um" localSheetId="4" hidden="1">3</definedName>
    <definedName name="solver_num" localSheetId="5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6" hidden="1">Scenarios!#REF!</definedName>
    <definedName name="solver_opt" localSheetId="1" hidden="1">'SSP119'!$K$122</definedName>
    <definedName name="solver_opt" localSheetId="2" hidden="1">'SSP126'!$K$122</definedName>
    <definedName name="solver_opt" localSheetId="3" hidden="1">'SSP245'!$K$122</definedName>
    <definedName name="solver_opt" localSheetId="4" hidden="1">'SSP370'!$K$122</definedName>
    <definedName name="solver_opt" localSheetId="5" hidden="1">'SSP585'!$K$122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4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5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el1" localSheetId="1" hidden="1">2</definedName>
    <definedName name="solver_rel1" localSheetId="2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2" localSheetId="1" hidden="1">2</definedName>
    <definedName name="solver_rel2" localSheetId="2" hidden="1">2</definedName>
    <definedName name="solver_rel2" localSheetId="3" hidden="1">2</definedName>
    <definedName name="solver_rel2" localSheetId="4" hidden="1">2</definedName>
    <definedName name="solver_rel2" localSheetId="5" hidden="1">2</definedName>
    <definedName name="solver_rel3" localSheetId="1" hidden="1">2</definedName>
    <definedName name="solver_rel3" localSheetId="2" hidden="1">2</definedName>
    <definedName name="solver_rel3" localSheetId="3" hidden="1">2</definedName>
    <definedName name="solver_rel3" localSheetId="4" hidden="1">2</definedName>
    <definedName name="solver_rel3" localSheetId="5" hidden="1">2</definedName>
    <definedName name="solver_rhs1" localSheetId="1" hidden="1">1</definedName>
    <definedName name="solver_rhs1" localSheetId="2" hidden="1">1</definedName>
    <definedName name="solver_rhs1" localSheetId="3" hidden="1">1</definedName>
    <definedName name="solver_rhs1" localSheetId="4" hidden="1">1</definedName>
    <definedName name="solver_rhs1" localSheetId="5" hidden="1">1</definedName>
    <definedName name="solver_rhs2" localSheetId="1" hidden="1">'SSP119'!$L$42</definedName>
    <definedName name="solver_rhs2" localSheetId="2" hidden="1">'SSP126'!$L$42</definedName>
    <definedName name="solver_rhs2" localSheetId="3" hidden="1">'SSP245'!$L$42</definedName>
    <definedName name="solver_rhs2" localSheetId="4" hidden="1">'SSP370'!$L$42</definedName>
    <definedName name="solver_rhs2" localSheetId="5" hidden="1">'SSP585'!$L$42</definedName>
    <definedName name="solver_rhs3" localSheetId="1" hidden="1">'SSP119'!$L$82</definedName>
    <definedName name="solver_rhs3" localSheetId="2" hidden="1">'SSP126'!$L$82</definedName>
    <definedName name="solver_rhs3" localSheetId="3" hidden="1">'SSP245'!$L$82</definedName>
    <definedName name="solver_rhs3" localSheetId="4" hidden="1">'SSP370'!$L$82</definedName>
    <definedName name="solver_rhs3" localSheetId="5" hidden="1">'SSP585'!$L$82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1" hidden="1">1</definedName>
    <definedName name="solver_tol" localSheetId="2" hidden="1">1</definedName>
    <definedName name="solver_tol" localSheetId="3" hidden="1">1</definedName>
    <definedName name="solver_tol" localSheetId="4" hidden="1">1</definedName>
    <definedName name="solver_tol" localSheetId="5" hidden="1">1</definedName>
    <definedName name="solver_typ" localSheetId="6" hidden="1">1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val" localSheetId="6" hidden="1">0</definedName>
    <definedName name="solver_val" localSheetId="1" hidden="1">0.728003478620426</definedName>
    <definedName name="solver_val" localSheetId="2" hidden="1">0.695435251223584</definedName>
    <definedName name="solver_val" localSheetId="3" hidden="1">0.496288209856939</definedName>
    <definedName name="solver_val" localSheetId="4" hidden="1">0.319603015806403</definedName>
    <definedName name="solver_val" localSheetId="5" hidden="1">0.176282611519145</definedName>
    <definedName name="solver_ver" localSheetId="6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29" l="1"/>
  <c r="J8" i="29"/>
  <c r="K8" i="29"/>
  <c r="L8" i="29"/>
  <c r="M8" i="29"/>
  <c r="I9" i="29"/>
  <c r="J9" i="29"/>
  <c r="K9" i="29"/>
  <c r="L9" i="29"/>
  <c r="M9" i="29"/>
  <c r="I10" i="29"/>
  <c r="J10" i="29"/>
  <c r="K10" i="29"/>
  <c r="L10" i="29"/>
  <c r="M10" i="29"/>
  <c r="I11" i="29"/>
  <c r="J11" i="29"/>
  <c r="K11" i="29"/>
  <c r="L11" i="29"/>
  <c r="M11" i="29"/>
  <c r="I12" i="29"/>
  <c r="J12" i="29"/>
  <c r="K12" i="29"/>
  <c r="L12" i="29"/>
  <c r="M12" i="29"/>
  <c r="I13" i="29"/>
  <c r="J13" i="29"/>
  <c r="K13" i="29"/>
  <c r="L13" i="29"/>
  <c r="M13" i="29"/>
  <c r="I14" i="29"/>
  <c r="J14" i="29"/>
  <c r="K14" i="29"/>
  <c r="L14" i="29"/>
  <c r="M14" i="29"/>
  <c r="I15" i="29"/>
  <c r="J15" i="29"/>
  <c r="K15" i="29"/>
  <c r="L15" i="29"/>
  <c r="M15" i="29"/>
  <c r="I16" i="29"/>
  <c r="J16" i="29"/>
  <c r="K16" i="29"/>
  <c r="L16" i="29"/>
  <c r="M16" i="29"/>
  <c r="I17" i="29"/>
  <c r="J17" i="29"/>
  <c r="K17" i="29"/>
  <c r="L17" i="29"/>
  <c r="M17" i="29"/>
  <c r="I18" i="29"/>
  <c r="J18" i="29"/>
  <c r="K18" i="29"/>
  <c r="L18" i="29"/>
  <c r="M18" i="29"/>
  <c r="I19" i="29"/>
  <c r="J19" i="29"/>
  <c r="K19" i="29"/>
  <c r="L19" i="29"/>
  <c r="M19" i="29"/>
  <c r="I20" i="29"/>
  <c r="J20" i="29"/>
  <c r="K20" i="29"/>
  <c r="L20" i="29"/>
  <c r="M20" i="29"/>
  <c r="I21" i="29"/>
  <c r="J21" i="29"/>
  <c r="K21" i="29"/>
  <c r="L21" i="29"/>
  <c r="M21" i="29"/>
  <c r="I22" i="29"/>
  <c r="J22" i="29"/>
  <c r="K22" i="29"/>
  <c r="L22" i="29"/>
  <c r="M22" i="29"/>
  <c r="I23" i="29"/>
  <c r="J23" i="29"/>
  <c r="K23" i="29"/>
  <c r="L23" i="29"/>
  <c r="M23" i="29"/>
  <c r="I24" i="29"/>
  <c r="J24" i="29"/>
  <c r="K24" i="29"/>
  <c r="L24" i="29"/>
  <c r="M24" i="29"/>
  <c r="I25" i="29"/>
  <c r="J25" i="29"/>
  <c r="K25" i="29"/>
  <c r="L25" i="29"/>
  <c r="M25" i="29"/>
  <c r="I26" i="29"/>
  <c r="J26" i="29"/>
  <c r="K26" i="29"/>
  <c r="L26" i="29"/>
  <c r="M26" i="29"/>
  <c r="I27" i="29"/>
  <c r="J27" i="29"/>
  <c r="K27" i="29"/>
  <c r="L27" i="29"/>
  <c r="M27" i="29"/>
  <c r="I28" i="29"/>
  <c r="J28" i="29"/>
  <c r="K28" i="29"/>
  <c r="L28" i="29"/>
  <c r="M28" i="29"/>
  <c r="I29" i="29"/>
  <c r="J29" i="29"/>
  <c r="K29" i="29"/>
  <c r="L29" i="29"/>
  <c r="M29" i="29"/>
  <c r="I30" i="29"/>
  <c r="J30" i="29"/>
  <c r="K30" i="29"/>
  <c r="L30" i="29"/>
  <c r="M30" i="29"/>
  <c r="I31" i="29"/>
  <c r="J31" i="29"/>
  <c r="K31" i="29"/>
  <c r="L31" i="29"/>
  <c r="M31" i="29"/>
  <c r="J3" i="29" l="1"/>
  <c r="K3" i="29"/>
  <c r="L3" i="29"/>
  <c r="M3" i="29"/>
  <c r="N3" i="29"/>
  <c r="I3" i="29"/>
  <c r="N5" i="29"/>
  <c r="N6" i="29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4" i="29"/>
  <c r="J3" i="36"/>
  <c r="J4" i="36" s="1"/>
  <c r="J5" i="36" s="1"/>
  <c r="J6" i="36" s="1"/>
  <c r="J7" i="36" s="1"/>
  <c r="J8" i="36" s="1"/>
  <c r="J9" i="36" s="1"/>
  <c r="J10" i="36" s="1"/>
  <c r="J11" i="36" s="1"/>
  <c r="J12" i="36" s="1"/>
  <c r="J13" i="36" s="1"/>
  <c r="J14" i="36" s="1"/>
  <c r="J15" i="36" s="1"/>
  <c r="J16" i="36" s="1"/>
  <c r="J17" i="36" s="1"/>
  <c r="J18" i="36" s="1"/>
  <c r="J19" i="36" s="1"/>
  <c r="J20" i="36" s="1"/>
  <c r="J21" i="36" s="1"/>
  <c r="J22" i="36" s="1"/>
  <c r="J23" i="36" s="1"/>
  <c r="J24" i="36" s="1"/>
  <c r="J25" i="36" s="1"/>
  <c r="J26" i="36" s="1"/>
  <c r="J27" i="36" s="1"/>
  <c r="J28" i="36" s="1"/>
  <c r="J29" i="36" s="1"/>
  <c r="J30" i="36" s="1"/>
  <c r="J31" i="36" s="1"/>
  <c r="J32" i="36" s="1"/>
  <c r="J33" i="36" s="1"/>
  <c r="J34" i="36" s="1"/>
  <c r="J35" i="36" s="1"/>
  <c r="J36" i="36" s="1"/>
  <c r="J37" i="36" s="1"/>
  <c r="J38" i="36" s="1"/>
  <c r="J39" i="36" s="1"/>
  <c r="J40" i="36" s="1"/>
  <c r="J41" i="36" s="1"/>
  <c r="J42" i="36" s="1"/>
  <c r="J43" i="36" s="1"/>
  <c r="J44" i="36" s="1"/>
  <c r="J45" i="36" s="1"/>
  <c r="J46" i="36" s="1"/>
  <c r="J47" i="36" s="1"/>
  <c r="J48" i="36" s="1"/>
  <c r="J49" i="36" s="1"/>
  <c r="J50" i="36" s="1"/>
  <c r="J51" i="36" s="1"/>
  <c r="J52" i="36" s="1"/>
  <c r="J53" i="36" s="1"/>
  <c r="J54" i="36" s="1"/>
  <c r="J55" i="36" s="1"/>
  <c r="J56" i="36" s="1"/>
  <c r="J57" i="36" s="1"/>
  <c r="J58" i="36" s="1"/>
  <c r="J59" i="36" s="1"/>
  <c r="J60" i="36" s="1"/>
  <c r="J61" i="36" s="1"/>
  <c r="J62" i="36" s="1"/>
  <c r="J63" i="36" s="1"/>
  <c r="J64" i="36" s="1"/>
  <c r="J65" i="36" s="1"/>
  <c r="J66" i="36" s="1"/>
  <c r="J67" i="36" s="1"/>
  <c r="J68" i="36" s="1"/>
  <c r="J69" i="36" s="1"/>
  <c r="J70" i="36" s="1"/>
  <c r="J71" i="36" s="1"/>
  <c r="J72" i="36" s="1"/>
  <c r="J73" i="36" s="1"/>
  <c r="J74" i="36" s="1"/>
  <c r="J75" i="36" s="1"/>
  <c r="J76" i="36" s="1"/>
  <c r="J77" i="36" s="1"/>
  <c r="J78" i="36" s="1"/>
  <c r="J79" i="36" s="1"/>
  <c r="J80" i="36" s="1"/>
  <c r="J81" i="36" s="1"/>
  <c r="J82" i="36" s="1"/>
  <c r="J83" i="36" s="1"/>
  <c r="J84" i="36" s="1"/>
  <c r="J85" i="36" s="1"/>
  <c r="J86" i="36" s="1"/>
  <c r="J87" i="36" s="1"/>
  <c r="J88" i="36" s="1"/>
  <c r="J89" i="36" s="1"/>
  <c r="J90" i="36" s="1"/>
  <c r="J91" i="36" s="1"/>
  <c r="J92" i="36" s="1"/>
  <c r="J93" i="36" s="1"/>
  <c r="J94" i="36" s="1"/>
  <c r="J95" i="36" s="1"/>
  <c r="J96" i="36" s="1"/>
  <c r="J97" i="36" s="1"/>
  <c r="J98" i="36" s="1"/>
  <c r="J99" i="36" s="1"/>
  <c r="J100" i="36" s="1"/>
  <c r="J101" i="36" s="1"/>
  <c r="J102" i="36" s="1"/>
  <c r="J103" i="36" s="1"/>
  <c r="J104" i="36" s="1"/>
  <c r="J105" i="36" s="1"/>
  <c r="J106" i="36" s="1"/>
  <c r="J107" i="36" s="1"/>
  <c r="J108" i="36" s="1"/>
  <c r="J109" i="36" s="1"/>
  <c r="J110" i="36" s="1"/>
  <c r="J111" i="36" s="1"/>
  <c r="J112" i="36" s="1"/>
  <c r="J113" i="36" s="1"/>
  <c r="J114" i="36" s="1"/>
  <c r="J115" i="36" s="1"/>
  <c r="J116" i="36" s="1"/>
  <c r="J117" i="36" s="1"/>
  <c r="J118" i="36" s="1"/>
  <c r="J119" i="36" s="1"/>
  <c r="J120" i="36" s="1"/>
  <c r="J121" i="36" s="1"/>
  <c r="J3" i="35"/>
  <c r="J4" i="35" s="1"/>
  <c r="J5" i="35" s="1"/>
  <c r="J6" i="35" s="1"/>
  <c r="J7" i="35" s="1"/>
  <c r="J8" i="35" s="1"/>
  <c r="J9" i="35" s="1"/>
  <c r="J10" i="35" s="1"/>
  <c r="J11" i="35" s="1"/>
  <c r="J12" i="35" s="1"/>
  <c r="J13" i="35" s="1"/>
  <c r="J14" i="35" s="1"/>
  <c r="J15" i="35" s="1"/>
  <c r="J16" i="35" s="1"/>
  <c r="J17" i="35" s="1"/>
  <c r="J18" i="35" s="1"/>
  <c r="J19" i="35" s="1"/>
  <c r="J20" i="35" s="1"/>
  <c r="J21" i="35" s="1"/>
  <c r="J22" i="35" s="1"/>
  <c r="J23" i="35" s="1"/>
  <c r="J24" i="35" s="1"/>
  <c r="J25" i="35" s="1"/>
  <c r="J26" i="35" s="1"/>
  <c r="J27" i="35" s="1"/>
  <c r="J28" i="35" s="1"/>
  <c r="J29" i="35" s="1"/>
  <c r="J30" i="35" s="1"/>
  <c r="J31" i="35" s="1"/>
  <c r="J32" i="35" s="1"/>
  <c r="J33" i="35" s="1"/>
  <c r="J34" i="35" s="1"/>
  <c r="J35" i="35" s="1"/>
  <c r="J36" i="35" s="1"/>
  <c r="J37" i="35" s="1"/>
  <c r="J38" i="35" s="1"/>
  <c r="J39" i="35" s="1"/>
  <c r="J40" i="35" s="1"/>
  <c r="J41" i="35" s="1"/>
  <c r="J42" i="35" s="1"/>
  <c r="J43" i="35" s="1"/>
  <c r="J44" i="35" s="1"/>
  <c r="J45" i="35" s="1"/>
  <c r="J46" i="35" s="1"/>
  <c r="J47" i="35" s="1"/>
  <c r="J48" i="35" s="1"/>
  <c r="J49" i="35" s="1"/>
  <c r="J50" i="35" s="1"/>
  <c r="J51" i="35" s="1"/>
  <c r="J52" i="35" s="1"/>
  <c r="J53" i="35" s="1"/>
  <c r="J54" i="35" s="1"/>
  <c r="J55" i="35" s="1"/>
  <c r="J56" i="35" s="1"/>
  <c r="J57" i="35" s="1"/>
  <c r="J58" i="35" s="1"/>
  <c r="J59" i="35" s="1"/>
  <c r="J60" i="35" s="1"/>
  <c r="J61" i="35" s="1"/>
  <c r="J62" i="35" s="1"/>
  <c r="J63" i="35" s="1"/>
  <c r="J64" i="35" s="1"/>
  <c r="J65" i="35" s="1"/>
  <c r="J66" i="35" s="1"/>
  <c r="J67" i="35" s="1"/>
  <c r="J68" i="35" s="1"/>
  <c r="J69" i="35" s="1"/>
  <c r="J70" i="35" s="1"/>
  <c r="J71" i="35" s="1"/>
  <c r="J72" i="35" s="1"/>
  <c r="J73" i="35" s="1"/>
  <c r="J74" i="35" s="1"/>
  <c r="J75" i="35" s="1"/>
  <c r="J76" i="35" s="1"/>
  <c r="J77" i="35" s="1"/>
  <c r="J78" i="35" s="1"/>
  <c r="J79" i="35" s="1"/>
  <c r="J80" i="35" s="1"/>
  <c r="J81" i="35" s="1"/>
  <c r="J82" i="35" s="1"/>
  <c r="J83" i="35" s="1"/>
  <c r="J84" i="35" s="1"/>
  <c r="J85" i="35" s="1"/>
  <c r="J86" i="35" s="1"/>
  <c r="J87" i="35" s="1"/>
  <c r="J88" i="35" s="1"/>
  <c r="J89" i="35" s="1"/>
  <c r="J90" i="35" s="1"/>
  <c r="J91" i="35" s="1"/>
  <c r="J92" i="35" s="1"/>
  <c r="J93" i="35" s="1"/>
  <c r="J94" i="35" s="1"/>
  <c r="J95" i="35" s="1"/>
  <c r="J96" i="35" s="1"/>
  <c r="J97" i="35" s="1"/>
  <c r="J98" i="35" s="1"/>
  <c r="J99" i="35" s="1"/>
  <c r="J100" i="35" s="1"/>
  <c r="J101" i="35" s="1"/>
  <c r="J102" i="35" s="1"/>
  <c r="J103" i="35" s="1"/>
  <c r="J104" i="35" s="1"/>
  <c r="J105" i="35" s="1"/>
  <c r="J106" i="35" s="1"/>
  <c r="J107" i="35" s="1"/>
  <c r="J108" i="35" s="1"/>
  <c r="J109" i="35" s="1"/>
  <c r="J110" i="35" s="1"/>
  <c r="J111" i="35" s="1"/>
  <c r="J112" i="35" s="1"/>
  <c r="J113" i="35" s="1"/>
  <c r="J114" i="35" s="1"/>
  <c r="J115" i="35" s="1"/>
  <c r="J116" i="35" s="1"/>
  <c r="J117" i="35" s="1"/>
  <c r="J118" i="35" s="1"/>
  <c r="J119" i="35" s="1"/>
  <c r="J120" i="35" s="1"/>
  <c r="J121" i="35" s="1"/>
  <c r="J3" i="34"/>
  <c r="J4" i="34" s="1"/>
  <c r="J5" i="34" s="1"/>
  <c r="J6" i="34" s="1"/>
  <c r="J7" i="34" s="1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3" i="33"/>
  <c r="J4" i="33" s="1"/>
  <c r="J5" i="33" s="1"/>
  <c r="J6" i="33" s="1"/>
  <c r="J7" i="33" s="1"/>
  <c r="J8" i="33" s="1"/>
  <c r="J9" i="33" s="1"/>
  <c r="J10" i="33" s="1"/>
  <c r="J11" i="33" s="1"/>
  <c r="J12" i="33" s="1"/>
  <c r="J13" i="33" s="1"/>
  <c r="J14" i="33" s="1"/>
  <c r="J15" i="33" s="1"/>
  <c r="J16" i="33" s="1"/>
  <c r="J17" i="33" s="1"/>
  <c r="J18" i="33" s="1"/>
  <c r="J19" i="33" s="1"/>
  <c r="J20" i="33" s="1"/>
  <c r="J21" i="33" s="1"/>
  <c r="J22" i="33" s="1"/>
  <c r="J23" i="33" s="1"/>
  <c r="J24" i="33" s="1"/>
  <c r="J25" i="33" s="1"/>
  <c r="J26" i="33" s="1"/>
  <c r="J27" i="33" s="1"/>
  <c r="J28" i="33" s="1"/>
  <c r="J29" i="33" s="1"/>
  <c r="J30" i="33" s="1"/>
  <c r="J31" i="33" s="1"/>
  <c r="J32" i="33" s="1"/>
  <c r="J33" i="33" s="1"/>
  <c r="J34" i="33" s="1"/>
  <c r="J35" i="33" s="1"/>
  <c r="J36" i="33" s="1"/>
  <c r="J37" i="33" s="1"/>
  <c r="J38" i="33" s="1"/>
  <c r="J39" i="33" s="1"/>
  <c r="J40" i="33" s="1"/>
  <c r="J41" i="33" s="1"/>
  <c r="J42" i="33" s="1"/>
  <c r="J43" i="33" s="1"/>
  <c r="J44" i="33" s="1"/>
  <c r="J45" i="33" s="1"/>
  <c r="J46" i="33" s="1"/>
  <c r="J47" i="33" s="1"/>
  <c r="J48" i="33" s="1"/>
  <c r="J49" i="33" s="1"/>
  <c r="J50" i="33" s="1"/>
  <c r="J51" i="33" s="1"/>
  <c r="J52" i="33" s="1"/>
  <c r="J53" i="33" s="1"/>
  <c r="J54" i="33" s="1"/>
  <c r="J55" i="33" s="1"/>
  <c r="J56" i="33" s="1"/>
  <c r="J57" i="33" s="1"/>
  <c r="J58" i="33" s="1"/>
  <c r="J59" i="33" s="1"/>
  <c r="J60" i="33" s="1"/>
  <c r="J61" i="33" s="1"/>
  <c r="J62" i="33" s="1"/>
  <c r="J63" i="33" s="1"/>
  <c r="J64" i="33" s="1"/>
  <c r="J65" i="33" s="1"/>
  <c r="J66" i="33" s="1"/>
  <c r="J67" i="33" s="1"/>
  <c r="J68" i="33" s="1"/>
  <c r="J69" i="33" s="1"/>
  <c r="J70" i="33" s="1"/>
  <c r="J71" i="33" s="1"/>
  <c r="J72" i="33" s="1"/>
  <c r="J73" i="33" s="1"/>
  <c r="J74" i="33" s="1"/>
  <c r="J75" i="33" s="1"/>
  <c r="J76" i="33" s="1"/>
  <c r="J77" i="33" s="1"/>
  <c r="J78" i="33" s="1"/>
  <c r="J79" i="33" s="1"/>
  <c r="J80" i="33" s="1"/>
  <c r="J81" i="33" s="1"/>
  <c r="J82" i="33" s="1"/>
  <c r="J83" i="33" s="1"/>
  <c r="J84" i="33" s="1"/>
  <c r="J85" i="33" s="1"/>
  <c r="J86" i="33" s="1"/>
  <c r="J87" i="33" s="1"/>
  <c r="J88" i="33" s="1"/>
  <c r="J89" i="33" s="1"/>
  <c r="J90" i="33" s="1"/>
  <c r="J91" i="33" s="1"/>
  <c r="J92" i="33" s="1"/>
  <c r="J93" i="33" s="1"/>
  <c r="J94" i="33" s="1"/>
  <c r="J95" i="33" s="1"/>
  <c r="J96" i="33" s="1"/>
  <c r="J97" i="33" s="1"/>
  <c r="J98" i="33" s="1"/>
  <c r="J99" i="33" s="1"/>
  <c r="J100" i="33" s="1"/>
  <c r="J101" i="33" s="1"/>
  <c r="J102" i="33" s="1"/>
  <c r="J103" i="33" s="1"/>
  <c r="J104" i="33" s="1"/>
  <c r="J105" i="33" s="1"/>
  <c r="J106" i="33" s="1"/>
  <c r="J107" i="33" s="1"/>
  <c r="J108" i="33" s="1"/>
  <c r="J109" i="33" s="1"/>
  <c r="J110" i="33" s="1"/>
  <c r="J111" i="33" s="1"/>
  <c r="J112" i="33" s="1"/>
  <c r="J113" i="33" s="1"/>
  <c r="J114" i="33" s="1"/>
  <c r="J115" i="33" s="1"/>
  <c r="J116" i="33" s="1"/>
  <c r="J117" i="33" s="1"/>
  <c r="J118" i="33" s="1"/>
  <c r="J119" i="33" s="1"/>
  <c r="J120" i="33" s="1"/>
  <c r="J121" i="33" s="1"/>
  <c r="J3" i="24"/>
  <c r="J4" i="24" s="1"/>
  <c r="J5" i="24" s="1"/>
  <c r="J6" i="24" s="1"/>
  <c r="J7" i="24" s="1"/>
  <c r="J8" i="24" s="1"/>
  <c r="J9" i="24" s="1"/>
  <c r="J10" i="24" s="1"/>
  <c r="J11" i="24" s="1"/>
  <c r="J12" i="24" s="1"/>
  <c r="J13" i="24" s="1"/>
  <c r="J14" i="24" s="1"/>
  <c r="J15" i="24" s="1"/>
  <c r="J16" i="24" s="1"/>
  <c r="J17" i="24" s="1"/>
  <c r="J18" i="24" s="1"/>
  <c r="J19" i="24" s="1"/>
  <c r="J20" i="24" s="1"/>
  <c r="J21" i="24" s="1"/>
  <c r="J22" i="24" s="1"/>
  <c r="J23" i="24" s="1"/>
  <c r="J24" i="24" s="1"/>
  <c r="J25" i="24" s="1"/>
  <c r="J26" i="24" s="1"/>
  <c r="J27" i="24" s="1"/>
  <c r="J28" i="24" s="1"/>
  <c r="J29" i="24" s="1"/>
  <c r="J30" i="24" s="1"/>
  <c r="J31" i="24" s="1"/>
  <c r="J32" i="24" s="1"/>
  <c r="J33" i="24" s="1"/>
  <c r="J34" i="24" s="1"/>
  <c r="J35" i="24" s="1"/>
  <c r="J36" i="24" s="1"/>
  <c r="J37" i="24" s="1"/>
  <c r="J38" i="24" s="1"/>
  <c r="J39" i="24" s="1"/>
  <c r="J40" i="24" s="1"/>
  <c r="J41" i="24" s="1"/>
  <c r="J42" i="24" s="1"/>
  <c r="J43" i="24" s="1"/>
  <c r="J44" i="24" s="1"/>
  <c r="J45" i="24" s="1"/>
  <c r="J46" i="24" s="1"/>
  <c r="J47" i="24" s="1"/>
  <c r="J48" i="24" s="1"/>
  <c r="J49" i="24" s="1"/>
  <c r="J50" i="24" s="1"/>
  <c r="J51" i="24" s="1"/>
  <c r="J52" i="24" s="1"/>
  <c r="J53" i="24" s="1"/>
  <c r="J54" i="24" s="1"/>
  <c r="J55" i="24" s="1"/>
  <c r="J56" i="24" s="1"/>
  <c r="J57" i="24" s="1"/>
  <c r="J58" i="24" s="1"/>
  <c r="J59" i="24" s="1"/>
  <c r="J60" i="24" s="1"/>
  <c r="J61" i="24" s="1"/>
  <c r="J62" i="24" s="1"/>
  <c r="J63" i="24" s="1"/>
  <c r="J64" i="24" s="1"/>
  <c r="J65" i="24" s="1"/>
  <c r="J66" i="24" s="1"/>
  <c r="J67" i="24" s="1"/>
  <c r="J68" i="24" s="1"/>
  <c r="J69" i="24" s="1"/>
  <c r="J70" i="24" s="1"/>
  <c r="J71" i="24" s="1"/>
  <c r="J72" i="24" s="1"/>
  <c r="J73" i="24" s="1"/>
  <c r="J74" i="24" s="1"/>
  <c r="J75" i="24" s="1"/>
  <c r="J76" i="24" s="1"/>
  <c r="J77" i="24" s="1"/>
  <c r="J78" i="24" s="1"/>
  <c r="J79" i="24" s="1"/>
  <c r="J80" i="24" s="1"/>
  <c r="J81" i="24" s="1"/>
  <c r="J82" i="24" s="1"/>
  <c r="J83" i="24" s="1"/>
  <c r="J84" i="24" s="1"/>
  <c r="J85" i="24" s="1"/>
  <c r="J86" i="24" s="1"/>
  <c r="J87" i="24" s="1"/>
  <c r="J88" i="24" s="1"/>
  <c r="J89" i="24" s="1"/>
  <c r="J90" i="24" s="1"/>
  <c r="J91" i="24" s="1"/>
  <c r="J92" i="24" s="1"/>
  <c r="J93" i="24" s="1"/>
  <c r="J94" i="24" s="1"/>
  <c r="J95" i="24" s="1"/>
  <c r="J96" i="24" s="1"/>
  <c r="J97" i="24" s="1"/>
  <c r="J98" i="24" s="1"/>
  <c r="J99" i="24" s="1"/>
  <c r="J100" i="24" s="1"/>
  <c r="J101" i="24" s="1"/>
  <c r="J102" i="24" s="1"/>
  <c r="J103" i="24" s="1"/>
  <c r="J104" i="24" s="1"/>
  <c r="J105" i="24" s="1"/>
  <c r="J106" i="24" s="1"/>
  <c r="J107" i="24" s="1"/>
  <c r="J108" i="24" s="1"/>
  <c r="J109" i="24" s="1"/>
  <c r="J110" i="24" s="1"/>
  <c r="J111" i="24" s="1"/>
  <c r="J112" i="24" s="1"/>
  <c r="J113" i="24" s="1"/>
  <c r="J114" i="24" s="1"/>
  <c r="J115" i="24" s="1"/>
  <c r="J116" i="24" s="1"/>
  <c r="J117" i="24" s="1"/>
  <c r="J118" i="24" s="1"/>
  <c r="J119" i="24" s="1"/>
  <c r="J120" i="24" s="1"/>
  <c r="J121" i="24" s="1"/>
  <c r="J3" i="31"/>
  <c r="J4" i="31" s="1"/>
  <c r="J5" i="31" s="1"/>
  <c r="J6" i="31" s="1"/>
  <c r="J7" i="31" s="1"/>
  <c r="J8" i="31" s="1"/>
  <c r="J9" i="31" s="1"/>
  <c r="J10" i="31" s="1"/>
  <c r="J11" i="31" s="1"/>
  <c r="J12" i="31" s="1"/>
  <c r="J13" i="31" s="1"/>
  <c r="J14" i="31" s="1"/>
  <c r="J15" i="31" s="1"/>
  <c r="J16" i="31" s="1"/>
  <c r="J17" i="31" s="1"/>
  <c r="J18" i="31" s="1"/>
  <c r="J19" i="31" s="1"/>
  <c r="J20" i="31" s="1"/>
  <c r="J21" i="31" s="1"/>
  <c r="J22" i="31" s="1"/>
  <c r="J23" i="31" s="1"/>
  <c r="J24" i="31" s="1"/>
  <c r="J25" i="31" s="1"/>
  <c r="J26" i="31" s="1"/>
  <c r="J27" i="31" s="1"/>
  <c r="J28" i="31" s="1"/>
  <c r="J29" i="31" s="1"/>
  <c r="J30" i="31" s="1"/>
  <c r="J31" i="31" s="1"/>
  <c r="J32" i="31" s="1"/>
  <c r="J33" i="31" s="1"/>
  <c r="J34" i="31" s="1"/>
  <c r="J35" i="31" s="1"/>
  <c r="J36" i="31" s="1"/>
  <c r="J37" i="31" s="1"/>
  <c r="J38" i="31" s="1"/>
  <c r="J39" i="31" s="1"/>
  <c r="J40" i="31" s="1"/>
  <c r="J41" i="31" s="1"/>
  <c r="J42" i="31" s="1"/>
  <c r="J43" i="31" s="1"/>
  <c r="J44" i="31" s="1"/>
  <c r="J45" i="31" s="1"/>
  <c r="J46" i="31" s="1"/>
  <c r="J47" i="31" s="1"/>
  <c r="J48" i="31" s="1"/>
  <c r="J49" i="31" s="1"/>
  <c r="J50" i="31" s="1"/>
  <c r="J51" i="31" s="1"/>
  <c r="J52" i="31" s="1"/>
  <c r="J53" i="31" s="1"/>
  <c r="J54" i="31" s="1"/>
  <c r="J55" i="31" s="1"/>
  <c r="J56" i="31" s="1"/>
  <c r="J57" i="31" s="1"/>
  <c r="J58" i="31" s="1"/>
  <c r="J59" i="31" s="1"/>
  <c r="J60" i="31" s="1"/>
  <c r="J61" i="31" s="1"/>
  <c r="J62" i="31" s="1"/>
  <c r="J63" i="31" s="1"/>
  <c r="J64" i="31" s="1"/>
  <c r="J65" i="31" s="1"/>
  <c r="J66" i="31" s="1"/>
  <c r="J67" i="31" s="1"/>
  <c r="J68" i="31" s="1"/>
  <c r="J69" i="31" s="1"/>
  <c r="J70" i="31" s="1"/>
  <c r="J71" i="31" s="1"/>
  <c r="J72" i="31" s="1"/>
  <c r="J73" i="31" s="1"/>
  <c r="J74" i="31" s="1"/>
  <c r="J75" i="31" s="1"/>
  <c r="J76" i="31" s="1"/>
  <c r="J77" i="31" s="1"/>
  <c r="J78" i="31" s="1"/>
  <c r="J79" i="31" s="1"/>
  <c r="J80" i="31" s="1"/>
  <c r="J81" i="31" s="1"/>
  <c r="J82" i="31" s="1"/>
  <c r="J83" i="31" s="1"/>
  <c r="J84" i="31" s="1"/>
  <c r="J85" i="31" s="1"/>
  <c r="J86" i="31" s="1"/>
  <c r="J87" i="31" s="1"/>
  <c r="J88" i="31" s="1"/>
  <c r="J89" i="31" s="1"/>
  <c r="J90" i="31" s="1"/>
  <c r="J91" i="31" s="1"/>
  <c r="J92" i="31" s="1"/>
  <c r="J93" i="31" s="1"/>
  <c r="J94" i="31" s="1"/>
  <c r="J95" i="31" s="1"/>
  <c r="J96" i="31" s="1"/>
  <c r="J97" i="31" s="1"/>
  <c r="J98" i="31" s="1"/>
  <c r="J99" i="31" s="1"/>
  <c r="J100" i="31" s="1"/>
  <c r="J101" i="31" s="1"/>
  <c r="J102" i="31" s="1"/>
  <c r="J103" i="31" s="1"/>
  <c r="J104" i="31" s="1"/>
  <c r="J105" i="31" s="1"/>
  <c r="J106" i="31" s="1"/>
  <c r="J107" i="31" s="1"/>
  <c r="J108" i="31" s="1"/>
  <c r="J109" i="31" s="1"/>
  <c r="J110" i="31" s="1"/>
  <c r="J111" i="31" s="1"/>
  <c r="J112" i="31" s="1"/>
  <c r="J113" i="31" s="1"/>
  <c r="J114" i="31" s="1"/>
  <c r="J115" i="31" s="1"/>
  <c r="J116" i="31" s="1"/>
  <c r="J117" i="31" s="1"/>
  <c r="J118" i="31" s="1"/>
  <c r="J119" i="31" s="1"/>
  <c r="J120" i="31" s="1"/>
  <c r="J121" i="31" s="1"/>
  <c r="I4" i="29"/>
  <c r="J4" i="29"/>
  <c r="K4" i="29"/>
  <c r="L4" i="29"/>
  <c r="M4" i="29"/>
  <c r="I5" i="29"/>
  <c r="J5" i="29"/>
  <c r="K5" i="29"/>
  <c r="L5" i="29"/>
  <c r="M5" i="29"/>
  <c r="I6" i="29"/>
  <c r="J6" i="29"/>
  <c r="K6" i="29"/>
  <c r="L6" i="29"/>
  <c r="M6" i="29"/>
  <c r="I7" i="29"/>
  <c r="J7" i="29"/>
  <c r="K7" i="29"/>
  <c r="L7" i="29"/>
  <c r="M7" i="29"/>
  <c r="J122" i="36" l="1"/>
  <c r="J122" i="35"/>
  <c r="J122" i="34"/>
  <c r="J122" i="33"/>
  <c r="J122" i="24"/>
  <c r="J122" i="31"/>
  <c r="P100" i="36"/>
  <c r="P99" i="36"/>
  <c r="Q100" i="35"/>
  <c r="Q99" i="35"/>
  <c r="Q100" i="34"/>
  <c r="Q99" i="34"/>
  <c r="Q99" i="33"/>
  <c r="Q98" i="33"/>
  <c r="Q103" i="35" a="1"/>
  <c r="Q103" i="34" a="1"/>
  <c r="Q102" i="33" a="1"/>
  <c r="P103" i="36" a="1"/>
  <c r="P103" i="36" l="1"/>
  <c r="K122" i="36" s="1"/>
  <c r="K121" i="36" s="1"/>
  <c r="K120" i="36" s="1"/>
  <c r="K119" i="36" s="1"/>
  <c r="K118" i="36" s="1"/>
  <c r="K117" i="36" s="1"/>
  <c r="K116" i="36" s="1"/>
  <c r="K115" i="36" s="1"/>
  <c r="K114" i="36" s="1"/>
  <c r="K113" i="36" s="1"/>
  <c r="K112" i="36" s="1"/>
  <c r="K111" i="36" s="1"/>
  <c r="K110" i="36" s="1"/>
  <c r="K109" i="36" s="1"/>
  <c r="K108" i="36" s="1"/>
  <c r="K107" i="36" s="1"/>
  <c r="K106" i="36" s="1"/>
  <c r="K105" i="36" s="1"/>
  <c r="K104" i="36" s="1"/>
  <c r="K103" i="36" s="1"/>
  <c r="K102" i="36" s="1"/>
  <c r="Q103" i="35"/>
  <c r="K122" i="35" s="1"/>
  <c r="K121" i="35" s="1"/>
  <c r="K120" i="35" s="1"/>
  <c r="K119" i="35" s="1"/>
  <c r="K118" i="35" s="1"/>
  <c r="K117" i="35" s="1"/>
  <c r="K116" i="35" s="1"/>
  <c r="K115" i="35" s="1"/>
  <c r="K114" i="35" s="1"/>
  <c r="K113" i="35" s="1"/>
  <c r="K112" i="35" s="1"/>
  <c r="K111" i="35" s="1"/>
  <c r="K110" i="35" s="1"/>
  <c r="K109" i="35" s="1"/>
  <c r="K108" i="35" s="1"/>
  <c r="K107" i="35" s="1"/>
  <c r="K106" i="35" s="1"/>
  <c r="K105" i="35" s="1"/>
  <c r="K104" i="35" s="1"/>
  <c r="K103" i="35" s="1"/>
  <c r="K102" i="35" s="1"/>
  <c r="Q103" i="34"/>
  <c r="K122" i="34" s="1"/>
  <c r="K121" i="34" s="1"/>
  <c r="K120" i="34" s="1"/>
  <c r="K119" i="34" s="1"/>
  <c r="K118" i="34" s="1"/>
  <c r="K117" i="34" s="1"/>
  <c r="K116" i="34" s="1"/>
  <c r="K115" i="34" s="1"/>
  <c r="K114" i="34" s="1"/>
  <c r="K113" i="34" s="1"/>
  <c r="K112" i="34" s="1"/>
  <c r="K111" i="34" s="1"/>
  <c r="K110" i="34" s="1"/>
  <c r="K109" i="34" s="1"/>
  <c r="K108" i="34" s="1"/>
  <c r="K107" i="34" s="1"/>
  <c r="K106" i="34" s="1"/>
  <c r="K105" i="34" s="1"/>
  <c r="K104" i="34" s="1"/>
  <c r="K103" i="34" s="1"/>
  <c r="K102" i="34" s="1"/>
  <c r="Q102" i="33"/>
  <c r="K122" i="33" s="1"/>
  <c r="K121" i="33" s="1"/>
  <c r="K120" i="33" s="1"/>
  <c r="K119" i="33" s="1"/>
  <c r="K118" i="33" s="1"/>
  <c r="K117" i="33" s="1"/>
  <c r="K116" i="33" s="1"/>
  <c r="K115" i="33" s="1"/>
  <c r="K114" i="33" s="1"/>
  <c r="K113" i="33" s="1"/>
  <c r="K112" i="33" s="1"/>
  <c r="K111" i="33" s="1"/>
  <c r="K110" i="33" s="1"/>
  <c r="K109" i="33" s="1"/>
  <c r="K108" i="33" s="1"/>
  <c r="K107" i="33" s="1"/>
  <c r="K106" i="33" s="1"/>
  <c r="K105" i="33" s="1"/>
  <c r="K104" i="33" s="1"/>
  <c r="K103" i="33" s="1"/>
  <c r="K102" i="33" s="1"/>
  <c r="P89" i="24" a="1"/>
  <c r="P89" i="24" l="1"/>
  <c r="Q101" i="33" a="1"/>
  <c r="P102" i="36" a="1"/>
  <c r="P90" i="24" a="1"/>
  <c r="Q102" i="35" a="1"/>
  <c r="Q102" i="34" a="1"/>
  <c r="P90" i="24" l="1"/>
  <c r="K122" i="24" s="1"/>
  <c r="K121" i="24" s="1"/>
  <c r="K120" i="24" s="1"/>
  <c r="K119" i="24" s="1"/>
  <c r="K118" i="24" s="1"/>
  <c r="K117" i="24" s="1"/>
  <c r="K116" i="24" s="1"/>
  <c r="K115" i="24" s="1"/>
  <c r="K114" i="24" s="1"/>
  <c r="K113" i="24" s="1"/>
  <c r="K112" i="24" s="1"/>
  <c r="K111" i="24" s="1"/>
  <c r="K110" i="24" s="1"/>
  <c r="K109" i="24" s="1"/>
  <c r="K108" i="24" s="1"/>
  <c r="K107" i="24" s="1"/>
  <c r="K106" i="24" s="1"/>
  <c r="K105" i="24" s="1"/>
  <c r="K104" i="24" s="1"/>
  <c r="K103" i="24" s="1"/>
  <c r="K102" i="24" s="1"/>
  <c r="P102" i="36"/>
  <c r="M102" i="36" s="1"/>
  <c r="K101" i="36" s="1"/>
  <c r="K100" i="36" s="1"/>
  <c r="K99" i="36" s="1"/>
  <c r="K98" i="36" s="1"/>
  <c r="K97" i="36" s="1"/>
  <c r="K96" i="36" s="1"/>
  <c r="K95" i="36" s="1"/>
  <c r="K94" i="36" s="1"/>
  <c r="K93" i="36" s="1"/>
  <c r="K92" i="36" s="1"/>
  <c r="K91" i="36" s="1"/>
  <c r="K90" i="36" s="1"/>
  <c r="K89" i="36" s="1"/>
  <c r="K88" i="36" s="1"/>
  <c r="K87" i="36" s="1"/>
  <c r="K86" i="36" s="1"/>
  <c r="K85" i="36" s="1"/>
  <c r="K84" i="36" s="1"/>
  <c r="K83" i="36" s="1"/>
  <c r="K82" i="36" s="1"/>
  <c r="K81" i="36" s="1"/>
  <c r="K80" i="36" s="1"/>
  <c r="K79" i="36" s="1"/>
  <c r="K78" i="36" s="1"/>
  <c r="K77" i="36" s="1"/>
  <c r="K76" i="36" s="1"/>
  <c r="K75" i="36" s="1"/>
  <c r="K74" i="36" s="1"/>
  <c r="K73" i="36" s="1"/>
  <c r="K72" i="36" s="1"/>
  <c r="K71" i="36" s="1"/>
  <c r="K70" i="36" s="1"/>
  <c r="K69" i="36" s="1"/>
  <c r="K68" i="36" s="1"/>
  <c r="K67" i="36" s="1"/>
  <c r="K66" i="36" s="1"/>
  <c r="K65" i="36" s="1"/>
  <c r="K64" i="36" s="1"/>
  <c r="K63" i="36" s="1"/>
  <c r="K62" i="36" s="1"/>
  <c r="K61" i="36" s="1"/>
  <c r="K60" i="36" s="1"/>
  <c r="K59" i="36" s="1"/>
  <c r="K58" i="36" s="1"/>
  <c r="K57" i="36" s="1"/>
  <c r="K56" i="36" s="1"/>
  <c r="K55" i="36" s="1"/>
  <c r="K54" i="36" s="1"/>
  <c r="K53" i="36" s="1"/>
  <c r="K52" i="36" s="1"/>
  <c r="K51" i="36" s="1"/>
  <c r="K50" i="36" s="1"/>
  <c r="K49" i="36" s="1"/>
  <c r="K48" i="36" s="1"/>
  <c r="K47" i="36" s="1"/>
  <c r="K46" i="36" s="1"/>
  <c r="K45" i="36" s="1"/>
  <c r="K44" i="36" s="1"/>
  <c r="K43" i="36" s="1"/>
  <c r="K42" i="36" s="1"/>
  <c r="K41" i="36" s="1"/>
  <c r="K40" i="36" s="1"/>
  <c r="K39" i="36" s="1"/>
  <c r="K38" i="36" s="1"/>
  <c r="K37" i="36" s="1"/>
  <c r="K36" i="36" s="1"/>
  <c r="K35" i="36" s="1"/>
  <c r="K34" i="36" s="1"/>
  <c r="K33" i="36" s="1"/>
  <c r="K32" i="36" s="1"/>
  <c r="K31" i="36" s="1"/>
  <c r="K30" i="36" s="1"/>
  <c r="K29" i="36" s="1"/>
  <c r="K28" i="36" s="1"/>
  <c r="K27" i="36" s="1"/>
  <c r="K26" i="36" s="1"/>
  <c r="K25" i="36" s="1"/>
  <c r="K24" i="36" s="1"/>
  <c r="K23" i="36" s="1"/>
  <c r="K22" i="36" s="1"/>
  <c r="K21" i="36" s="1"/>
  <c r="K20" i="36" s="1"/>
  <c r="K19" i="36" s="1"/>
  <c r="K18" i="36" s="1"/>
  <c r="K17" i="36" s="1"/>
  <c r="K16" i="36" s="1"/>
  <c r="K15" i="36" s="1"/>
  <c r="K14" i="36" s="1"/>
  <c r="K13" i="36" s="1"/>
  <c r="K12" i="36" s="1"/>
  <c r="K11" i="36" s="1"/>
  <c r="K10" i="36" s="1"/>
  <c r="K9" i="36" s="1"/>
  <c r="K8" i="36" s="1"/>
  <c r="K7" i="36" s="1"/>
  <c r="K6" i="36" s="1"/>
  <c r="K5" i="36" s="1"/>
  <c r="K4" i="36" s="1"/>
  <c r="K3" i="36" s="1"/>
  <c r="K2" i="36" s="1"/>
  <c r="Q102" i="35"/>
  <c r="Q102" i="34"/>
  <c r="M102" i="34" s="1"/>
  <c r="K101" i="34" s="1"/>
  <c r="K100" i="34" s="1"/>
  <c r="K99" i="34" s="1"/>
  <c r="K98" i="34" s="1"/>
  <c r="K97" i="34" s="1"/>
  <c r="K96" i="34" s="1"/>
  <c r="K95" i="34" s="1"/>
  <c r="K94" i="34" s="1"/>
  <c r="K93" i="34" s="1"/>
  <c r="K92" i="34" s="1"/>
  <c r="K91" i="34" s="1"/>
  <c r="K90" i="34" s="1"/>
  <c r="K89" i="34" s="1"/>
  <c r="K88" i="34" s="1"/>
  <c r="K87" i="34" s="1"/>
  <c r="K86" i="34" s="1"/>
  <c r="K85" i="34" s="1"/>
  <c r="K84" i="34" s="1"/>
  <c r="K83" i="34" s="1"/>
  <c r="K82" i="34" s="1"/>
  <c r="K81" i="34" s="1"/>
  <c r="K80" i="34" s="1"/>
  <c r="K79" i="34" s="1"/>
  <c r="K78" i="34" s="1"/>
  <c r="K77" i="34" s="1"/>
  <c r="K76" i="34" s="1"/>
  <c r="K75" i="34" s="1"/>
  <c r="K74" i="34" s="1"/>
  <c r="K73" i="34" s="1"/>
  <c r="K72" i="34" s="1"/>
  <c r="K71" i="34" s="1"/>
  <c r="K70" i="34" s="1"/>
  <c r="K69" i="34" s="1"/>
  <c r="K68" i="34" s="1"/>
  <c r="K67" i="34" s="1"/>
  <c r="K66" i="34" s="1"/>
  <c r="K65" i="34" s="1"/>
  <c r="K64" i="34" s="1"/>
  <c r="K63" i="34" s="1"/>
  <c r="K62" i="34" s="1"/>
  <c r="K61" i="34" s="1"/>
  <c r="K60" i="34" s="1"/>
  <c r="K59" i="34" s="1"/>
  <c r="K58" i="34" s="1"/>
  <c r="K57" i="34" s="1"/>
  <c r="K56" i="34" s="1"/>
  <c r="K55" i="34" s="1"/>
  <c r="K54" i="34" s="1"/>
  <c r="K53" i="34" s="1"/>
  <c r="K52" i="34" s="1"/>
  <c r="K51" i="34" s="1"/>
  <c r="K50" i="34" s="1"/>
  <c r="K49" i="34" s="1"/>
  <c r="K48" i="34" s="1"/>
  <c r="K47" i="34" s="1"/>
  <c r="K46" i="34" s="1"/>
  <c r="K45" i="34" s="1"/>
  <c r="K44" i="34" s="1"/>
  <c r="K43" i="34" s="1"/>
  <c r="K42" i="34" s="1"/>
  <c r="K41" i="34" s="1"/>
  <c r="K40" i="34" s="1"/>
  <c r="K39" i="34" s="1"/>
  <c r="K38" i="34" s="1"/>
  <c r="K37" i="34" s="1"/>
  <c r="K36" i="34" s="1"/>
  <c r="K35" i="34" s="1"/>
  <c r="K34" i="34" s="1"/>
  <c r="K33" i="34" s="1"/>
  <c r="K32" i="34" s="1"/>
  <c r="K31" i="34" s="1"/>
  <c r="K30" i="34" s="1"/>
  <c r="K29" i="34" s="1"/>
  <c r="K28" i="34" s="1"/>
  <c r="K27" i="34" s="1"/>
  <c r="K26" i="34" s="1"/>
  <c r="K25" i="34" s="1"/>
  <c r="K24" i="34" s="1"/>
  <c r="K23" i="34" s="1"/>
  <c r="K22" i="34" s="1"/>
  <c r="K21" i="34" s="1"/>
  <c r="K20" i="34" s="1"/>
  <c r="K19" i="34" s="1"/>
  <c r="K18" i="34" s="1"/>
  <c r="K17" i="34" s="1"/>
  <c r="K16" i="34" s="1"/>
  <c r="K15" i="34" s="1"/>
  <c r="K14" i="34" s="1"/>
  <c r="K13" i="34" s="1"/>
  <c r="K12" i="34" s="1"/>
  <c r="K11" i="34" s="1"/>
  <c r="K10" i="34" s="1"/>
  <c r="K9" i="34" s="1"/>
  <c r="K8" i="34" s="1"/>
  <c r="K7" i="34" s="1"/>
  <c r="K6" i="34" s="1"/>
  <c r="K5" i="34" s="1"/>
  <c r="K4" i="34" s="1"/>
  <c r="K3" i="34" s="1"/>
  <c r="K2" i="34" s="1"/>
  <c r="Q101" i="33"/>
  <c r="M102" i="33" s="1"/>
  <c r="K101" i="33" s="1"/>
  <c r="K100" i="33" s="1"/>
  <c r="K99" i="33" s="1"/>
  <c r="K98" i="33" s="1"/>
  <c r="K97" i="33" s="1"/>
  <c r="K96" i="33" s="1"/>
  <c r="K95" i="33" s="1"/>
  <c r="K94" i="33" s="1"/>
  <c r="K93" i="33" s="1"/>
  <c r="K92" i="33" s="1"/>
  <c r="K91" i="33" s="1"/>
  <c r="K90" i="33" s="1"/>
  <c r="K89" i="33" s="1"/>
  <c r="K88" i="33" s="1"/>
  <c r="K87" i="33" s="1"/>
  <c r="K86" i="33" s="1"/>
  <c r="K85" i="33" s="1"/>
  <c r="K84" i="33" s="1"/>
  <c r="K83" i="33" s="1"/>
  <c r="K82" i="33" s="1"/>
  <c r="K81" i="33" s="1"/>
  <c r="K80" i="33" s="1"/>
  <c r="K79" i="33" s="1"/>
  <c r="K78" i="33" s="1"/>
  <c r="K77" i="33" s="1"/>
  <c r="K76" i="33" s="1"/>
  <c r="K75" i="33" s="1"/>
  <c r="K74" i="33" s="1"/>
  <c r="K73" i="33" s="1"/>
  <c r="K72" i="33" s="1"/>
  <c r="K71" i="33" s="1"/>
  <c r="K70" i="33" s="1"/>
  <c r="K69" i="33" s="1"/>
  <c r="K68" i="33" s="1"/>
  <c r="K67" i="33" s="1"/>
  <c r="K66" i="33" s="1"/>
  <c r="K65" i="33" s="1"/>
  <c r="K64" i="33" s="1"/>
  <c r="K63" i="33" s="1"/>
  <c r="K62" i="33" s="1"/>
  <c r="K61" i="33" s="1"/>
  <c r="K60" i="33" s="1"/>
  <c r="K59" i="33" s="1"/>
  <c r="K58" i="33" s="1"/>
  <c r="K57" i="33" s="1"/>
  <c r="K56" i="33" s="1"/>
  <c r="K55" i="33" s="1"/>
  <c r="K54" i="33" s="1"/>
  <c r="K53" i="33" s="1"/>
  <c r="K52" i="33" s="1"/>
  <c r="K51" i="33" s="1"/>
  <c r="K50" i="33" s="1"/>
  <c r="K49" i="33" s="1"/>
  <c r="K48" i="33" s="1"/>
  <c r="K47" i="33" s="1"/>
  <c r="K46" i="33" s="1"/>
  <c r="K45" i="33" s="1"/>
  <c r="K44" i="33" s="1"/>
  <c r="K43" i="33" s="1"/>
  <c r="K42" i="33" s="1"/>
  <c r="K41" i="33" s="1"/>
  <c r="K40" i="33" s="1"/>
  <c r="K39" i="33" s="1"/>
  <c r="K38" i="33" s="1"/>
  <c r="K37" i="33" s="1"/>
  <c r="K36" i="33" s="1"/>
  <c r="K35" i="33" s="1"/>
  <c r="K34" i="33" s="1"/>
  <c r="K33" i="33" s="1"/>
  <c r="K32" i="33" s="1"/>
  <c r="K31" i="33" s="1"/>
  <c r="K30" i="33" s="1"/>
  <c r="K29" i="33" s="1"/>
  <c r="K28" i="33" s="1"/>
  <c r="K27" i="33" s="1"/>
  <c r="K26" i="33" s="1"/>
  <c r="K25" i="33" s="1"/>
  <c r="K24" i="33" s="1"/>
  <c r="K23" i="33" s="1"/>
  <c r="K22" i="33" s="1"/>
  <c r="K21" i="33" s="1"/>
  <c r="K20" i="33" s="1"/>
  <c r="K19" i="33" s="1"/>
  <c r="K18" i="33" s="1"/>
  <c r="K17" i="33" s="1"/>
  <c r="K16" i="33" s="1"/>
  <c r="K15" i="33" s="1"/>
  <c r="K14" i="33" s="1"/>
  <c r="K13" i="33" s="1"/>
  <c r="K12" i="33" s="1"/>
  <c r="K11" i="33" s="1"/>
  <c r="K10" i="33" s="1"/>
  <c r="K9" i="33" s="1"/>
  <c r="K8" i="33" s="1"/>
  <c r="K7" i="33" s="1"/>
  <c r="K6" i="33" s="1"/>
  <c r="K5" i="33" s="1"/>
  <c r="K4" i="33" s="1"/>
  <c r="K3" i="33" s="1"/>
  <c r="K2" i="33" s="1"/>
  <c r="M102" i="24"/>
  <c r="K101" i="24" s="1"/>
  <c r="K100" i="24" s="1"/>
  <c r="K99" i="24" s="1"/>
  <c r="K98" i="24" s="1"/>
  <c r="K97" i="24" s="1"/>
  <c r="K96" i="24" s="1"/>
  <c r="K95" i="24" s="1"/>
  <c r="K94" i="24" s="1"/>
  <c r="K93" i="24" s="1"/>
  <c r="K92" i="24" s="1"/>
  <c r="K91" i="24" s="1"/>
  <c r="K90" i="24" s="1"/>
  <c r="K89" i="24" s="1"/>
  <c r="K88" i="24" s="1"/>
  <c r="K87" i="24" s="1"/>
  <c r="K86" i="24" s="1"/>
  <c r="K85" i="24" s="1"/>
  <c r="K84" i="24" s="1"/>
  <c r="K83" i="24" s="1"/>
  <c r="K82" i="24" s="1"/>
  <c r="K81" i="24" s="1"/>
  <c r="K80" i="24" s="1"/>
  <c r="K79" i="24" s="1"/>
  <c r="K78" i="24" s="1"/>
  <c r="K77" i="24" s="1"/>
  <c r="K76" i="24" s="1"/>
  <c r="K75" i="24" s="1"/>
  <c r="K74" i="24" s="1"/>
  <c r="K73" i="24" s="1"/>
  <c r="K72" i="24" s="1"/>
  <c r="K71" i="24" s="1"/>
  <c r="K70" i="24" s="1"/>
  <c r="K69" i="24" s="1"/>
  <c r="K68" i="24" s="1"/>
  <c r="K67" i="24" s="1"/>
  <c r="K66" i="24" s="1"/>
  <c r="K65" i="24" s="1"/>
  <c r="K64" i="24" s="1"/>
  <c r="K63" i="24" s="1"/>
  <c r="K62" i="24" s="1"/>
  <c r="K61" i="24" s="1"/>
  <c r="K60" i="24" s="1"/>
  <c r="K59" i="24" s="1"/>
  <c r="K58" i="24" s="1"/>
  <c r="K57" i="24" s="1"/>
  <c r="K56" i="24" s="1"/>
  <c r="K55" i="24" s="1"/>
  <c r="K54" i="24" s="1"/>
  <c r="K53" i="24" s="1"/>
  <c r="K52" i="24" s="1"/>
  <c r="K51" i="24" s="1"/>
  <c r="K50" i="24" s="1"/>
  <c r="K49" i="24" s="1"/>
  <c r="K48" i="24" s="1"/>
  <c r="K47" i="24" s="1"/>
  <c r="K46" i="24" s="1"/>
  <c r="K45" i="24" s="1"/>
  <c r="K44" i="24" s="1"/>
  <c r="K43" i="24" s="1"/>
  <c r="K42" i="24" s="1"/>
  <c r="K41" i="24" s="1"/>
  <c r="K40" i="24" s="1"/>
  <c r="K39" i="24" s="1"/>
  <c r="K38" i="24" s="1"/>
  <c r="K37" i="24" s="1"/>
  <c r="K36" i="24" s="1"/>
  <c r="K35" i="24" s="1"/>
  <c r="K34" i="24" s="1"/>
  <c r="K33" i="24" s="1"/>
  <c r="K32" i="24" s="1"/>
  <c r="K31" i="24" s="1"/>
  <c r="K30" i="24" s="1"/>
  <c r="K29" i="24" s="1"/>
  <c r="K28" i="24" s="1"/>
  <c r="K27" i="24" s="1"/>
  <c r="K26" i="24" s="1"/>
  <c r="K25" i="24" s="1"/>
  <c r="K24" i="24" s="1"/>
  <c r="K23" i="24" s="1"/>
  <c r="K22" i="24" s="1"/>
  <c r="K21" i="24" s="1"/>
  <c r="K20" i="24" s="1"/>
  <c r="K19" i="24" s="1"/>
  <c r="K18" i="24" s="1"/>
  <c r="K17" i="24" s="1"/>
  <c r="K16" i="24" s="1"/>
  <c r="K15" i="24" s="1"/>
  <c r="K14" i="24" s="1"/>
  <c r="K13" i="24" s="1"/>
  <c r="K12" i="24" s="1"/>
  <c r="K11" i="24" s="1"/>
  <c r="K10" i="24" s="1"/>
  <c r="K9" i="24" s="1"/>
  <c r="K8" i="24" s="1"/>
  <c r="K7" i="24" s="1"/>
  <c r="K6" i="24" s="1"/>
  <c r="K5" i="24" s="1"/>
  <c r="K4" i="24" s="1"/>
  <c r="K3" i="24" s="1"/>
  <c r="K2" i="24" s="1"/>
  <c r="M102" i="35" l="1"/>
  <c r="K101" i="35" s="1"/>
  <c r="K100" i="35" s="1"/>
  <c r="K99" i="35" s="1"/>
  <c r="K98" i="35" s="1"/>
  <c r="K97" i="35" s="1"/>
  <c r="K96" i="35" s="1"/>
  <c r="K95" i="35" s="1"/>
  <c r="K94" i="35" s="1"/>
  <c r="K93" i="35" s="1"/>
  <c r="K92" i="35" s="1"/>
  <c r="K91" i="35" s="1"/>
  <c r="K90" i="35" s="1"/>
  <c r="K89" i="35" s="1"/>
  <c r="K88" i="35" s="1"/>
  <c r="K87" i="35" s="1"/>
  <c r="K86" i="35" s="1"/>
  <c r="K85" i="35" s="1"/>
  <c r="K84" i="35" s="1"/>
  <c r="K83" i="35" s="1"/>
  <c r="K82" i="35" s="1"/>
  <c r="K81" i="35" s="1"/>
  <c r="K80" i="35" s="1"/>
  <c r="K79" i="35" s="1"/>
  <c r="K78" i="35" s="1"/>
  <c r="K77" i="35" s="1"/>
  <c r="K76" i="35" s="1"/>
  <c r="K75" i="35" s="1"/>
  <c r="K74" i="35" s="1"/>
  <c r="K73" i="35" s="1"/>
  <c r="K72" i="35" s="1"/>
  <c r="K71" i="35" s="1"/>
  <c r="K70" i="35" s="1"/>
  <c r="K69" i="35" s="1"/>
  <c r="K68" i="35" s="1"/>
  <c r="K67" i="35" s="1"/>
  <c r="K66" i="35" s="1"/>
  <c r="K65" i="35" s="1"/>
  <c r="K64" i="35" s="1"/>
  <c r="K63" i="35" s="1"/>
  <c r="K62" i="35" s="1"/>
  <c r="K61" i="35" s="1"/>
  <c r="K60" i="35" s="1"/>
  <c r="K59" i="35" s="1"/>
  <c r="K58" i="35" s="1"/>
  <c r="K57" i="35" s="1"/>
  <c r="K56" i="35" s="1"/>
  <c r="K55" i="35" s="1"/>
  <c r="K54" i="35" s="1"/>
  <c r="K53" i="35" s="1"/>
  <c r="K52" i="35" s="1"/>
  <c r="K51" i="35" s="1"/>
  <c r="K50" i="35" s="1"/>
  <c r="K49" i="35" s="1"/>
  <c r="K48" i="35" s="1"/>
  <c r="K47" i="35" s="1"/>
  <c r="K46" i="35" s="1"/>
  <c r="K45" i="35" s="1"/>
  <c r="K44" i="35" s="1"/>
  <c r="K43" i="35" s="1"/>
  <c r="K42" i="35" s="1"/>
  <c r="K41" i="35" s="1"/>
  <c r="K40" i="35" s="1"/>
  <c r="K39" i="35" s="1"/>
  <c r="K38" i="35" s="1"/>
  <c r="K37" i="35" s="1"/>
  <c r="K36" i="35" s="1"/>
  <c r="K35" i="35" s="1"/>
  <c r="K34" i="35" s="1"/>
  <c r="K33" i="35" s="1"/>
  <c r="K32" i="35" s="1"/>
  <c r="K31" i="35" s="1"/>
  <c r="K30" i="35" s="1"/>
  <c r="K29" i="35" s="1"/>
  <c r="K28" i="35" s="1"/>
  <c r="K27" i="35" s="1"/>
  <c r="K26" i="35" s="1"/>
  <c r="K25" i="35" s="1"/>
  <c r="K24" i="35" s="1"/>
  <c r="K23" i="35" s="1"/>
  <c r="K22" i="35" s="1"/>
  <c r="K21" i="35" s="1"/>
  <c r="K20" i="35" s="1"/>
  <c r="K19" i="35" s="1"/>
  <c r="K18" i="35" s="1"/>
  <c r="K17" i="35" s="1"/>
  <c r="K16" i="35" s="1"/>
  <c r="K15" i="35" s="1"/>
  <c r="K14" i="35" s="1"/>
  <c r="K13" i="35" s="1"/>
  <c r="K12" i="35" s="1"/>
  <c r="K11" i="35" s="1"/>
  <c r="K10" i="35" s="1"/>
  <c r="K9" i="35" s="1"/>
  <c r="K8" i="35" s="1"/>
  <c r="K7" i="35" s="1"/>
  <c r="K6" i="35" s="1"/>
  <c r="K5" i="35" s="1"/>
  <c r="K4" i="35" s="1"/>
  <c r="K3" i="35" s="1"/>
  <c r="K2" i="35" s="1"/>
  <c r="M122" i="36"/>
  <c r="M122" i="35"/>
  <c r="M122" i="34"/>
  <c r="M122" i="33"/>
  <c r="M122" i="24" l="1"/>
  <c r="M82" i="36"/>
  <c r="M82" i="35"/>
  <c r="M82" i="34"/>
  <c r="M82" i="33"/>
  <c r="M72" i="36" l="1"/>
  <c r="M72" i="35"/>
  <c r="M72" i="34"/>
  <c r="M72" i="33"/>
  <c r="M62" i="36" l="1"/>
  <c r="M62" i="35"/>
  <c r="M62" i="34"/>
  <c r="M62" i="33"/>
  <c r="M52" i="36" l="1"/>
  <c r="M52" i="35"/>
  <c r="M52" i="34"/>
  <c r="M52" i="33"/>
  <c r="M42" i="36" l="1"/>
  <c r="M42" i="35"/>
  <c r="M42" i="34"/>
  <c r="M42" i="33"/>
  <c r="M40" i="36" l="1"/>
  <c r="M40" i="35"/>
  <c r="M40" i="34"/>
  <c r="M40" i="33"/>
  <c r="M38" i="36" l="1"/>
  <c r="M38" i="35"/>
  <c r="M38" i="34"/>
  <c r="M38" i="33"/>
  <c r="M36" i="36" l="1"/>
  <c r="M36" i="35"/>
  <c r="M36" i="34"/>
  <c r="M36" i="33"/>
  <c r="M34" i="36" l="1"/>
  <c r="M34" i="35"/>
  <c r="M34" i="34"/>
  <c r="M34" i="33"/>
  <c r="M32" i="36" l="1"/>
  <c r="M32" i="35"/>
  <c r="M32" i="34"/>
  <c r="M32" i="33"/>
  <c r="M30" i="36" l="1"/>
  <c r="M30" i="35"/>
  <c r="M30" i="34"/>
  <c r="M30" i="33"/>
  <c r="M28" i="36" l="1"/>
  <c r="M28" i="35"/>
  <c r="M28" i="34"/>
  <c r="M28" i="33"/>
  <c r="M26" i="36" l="1"/>
  <c r="M26" i="35"/>
  <c r="M26" i="34"/>
  <c r="M26" i="33"/>
  <c r="M24" i="36" l="1"/>
  <c r="M24" i="35"/>
  <c r="M24" i="34"/>
  <c r="M24" i="33"/>
  <c r="M22" i="36" l="1"/>
  <c r="M22" i="35"/>
  <c r="M22" i="34"/>
  <c r="M22" i="33"/>
  <c r="M20" i="36" l="1"/>
  <c r="M20" i="35"/>
  <c r="M20" i="34"/>
  <c r="M20" i="33"/>
  <c r="M18" i="36" l="1"/>
  <c r="M18" i="35"/>
  <c r="M18" i="34"/>
  <c r="M18" i="33"/>
  <c r="M82" i="24" l="1"/>
  <c r="M16" i="36"/>
  <c r="M16" i="35"/>
  <c r="M16" i="34"/>
  <c r="M16" i="33"/>
  <c r="M72" i="24" l="1"/>
  <c r="M62" i="24"/>
  <c r="M14" i="36"/>
  <c r="M14" i="35"/>
  <c r="M14" i="34"/>
  <c r="M14" i="33"/>
  <c r="M52" i="24" l="1"/>
  <c r="M12" i="36"/>
  <c r="M12" i="35"/>
  <c r="M12" i="34"/>
  <c r="M12" i="33"/>
  <c r="M42" i="24" l="1"/>
  <c r="M10" i="36"/>
  <c r="M10" i="35"/>
  <c r="M10" i="34"/>
  <c r="M10" i="33"/>
  <c r="M40" i="24" l="1"/>
  <c r="M8" i="36"/>
  <c r="M8" i="35"/>
  <c r="M8" i="34"/>
  <c r="M8" i="33"/>
  <c r="M38" i="24" l="1"/>
  <c r="M6" i="36"/>
  <c r="M6" i="35"/>
  <c r="M6" i="34"/>
  <c r="M6" i="33"/>
  <c r="M36" i="24" l="1"/>
  <c r="M5" i="36"/>
  <c r="M5" i="35"/>
  <c r="M5" i="34"/>
  <c r="M5" i="33"/>
  <c r="M34" i="24" l="1"/>
  <c r="M4" i="36"/>
  <c r="M4" i="35"/>
  <c r="M4" i="34"/>
  <c r="M4" i="33"/>
  <c r="M32" i="24" l="1"/>
  <c r="M3" i="36"/>
  <c r="M3" i="35"/>
  <c r="M3" i="34"/>
  <c r="M3" i="33"/>
  <c r="M30" i="24" l="1"/>
  <c r="M28" i="24" l="1"/>
  <c r="M26" i="24" l="1"/>
  <c r="M24" i="24" l="1"/>
  <c r="M22" i="24" l="1"/>
  <c r="M20" i="24" l="1"/>
  <c r="M18" i="24" l="1"/>
  <c r="M16" i="24" l="1"/>
  <c r="M14" i="24" l="1"/>
  <c r="M12" i="24" l="1"/>
  <c r="M10" i="24" l="1"/>
  <c r="M8" i="24" l="1"/>
  <c r="M6" i="24" l="1"/>
  <c r="M5" i="24" l="1"/>
  <c r="M4" i="24" l="1"/>
  <c r="M3" i="2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<sst xmlns="http://schemas.openxmlformats.org/spreadsheetml/2006/main" count="84" uniqueCount="25">
  <si>
    <t>Time</t>
  </si>
  <si>
    <t>Maturity</t>
  </si>
  <si>
    <t>Pc</t>
  </si>
  <si>
    <t>P6m</t>
  </si>
  <si>
    <t>TauL</t>
  </si>
  <si>
    <t>TauK</t>
  </si>
  <si>
    <t>AcK</t>
  </si>
  <si>
    <t>J</t>
  </si>
  <si>
    <t>SSP119</t>
  </si>
  <si>
    <t>SSP126</t>
  </si>
  <si>
    <t>SSP245</t>
  </si>
  <si>
    <t>SSP370</t>
  </si>
  <si>
    <t>SSP585</t>
  </si>
  <si>
    <t>PSSP119</t>
  </si>
  <si>
    <t>PSSP126</t>
  </si>
  <si>
    <t>PSSP245</t>
  </si>
  <si>
    <t>PSSP370</t>
  </si>
  <si>
    <t>PSSP585</t>
  </si>
  <si>
    <t>P6 shifted</t>
  </si>
  <si>
    <t>Nodes</t>
  </si>
  <si>
    <t>Pc(0,spot)</t>
  </si>
  <si>
    <t>Fwd</t>
  </si>
  <si>
    <t>Rates</t>
  </si>
  <si>
    <t>Original</t>
  </si>
  <si>
    <t>Soriginal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</si>
</sst>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14" fontId="0" fillId="0" borderId="0" xfId="0" applyNumberFormat="1"/>
    <xf numFmtId="0" fontId="1" fillId="0" borderId="5" xfId="0" applyFont="1" applyBorder="1"/>
    <xf numFmtId="0" fontId="1" fillId="0" borderId="4" xfId="0" applyFont="1" applyBorder="1"/>
    <xf numFmtId="0" fontId="1" fillId="0" borderId="5" xfId="0" applyFont="1" applyBorder="1" applyAlignment="1">
      <alignment horizontal="center" vertical="top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 vertical="top"/>
    </xf>
    <xf numFmtId="0" fontId="0" fillId="0" borderId="6" xfId="0" applyBorder="1"/>
    <xf numFmtId="0" fontId="0" fillId="0" borderId="7" xfId="0" applyBorder="1"/>
    <xf numFmtId="0" fontId="2" fillId="0" borderId="6" xfId="0" applyFont="1" applyBorder="1" applyAlignment="1">
      <alignment vertical="center"/>
    </xf>
    <xf numFmtId="166" fontId="0" fillId="0" borderId="0" xfId="0" applyNumberFormat="1"/>
    <xf numFmtId="166" fontId="2" fillId="0" borderId="0" xfId="0" applyNumberFormat="1" applyFont="1" applyAlignment="1">
      <alignment vertical="center"/>
    </xf>
    <xf numFmtId="166" fontId="2" fillId="0" borderId="6" xfId="0" applyNumberFormat="1" applyFont="1" applyBorder="1" applyAlignment="1">
      <alignment vertical="center"/>
    </xf>
    <xf numFmtId="166" fontId="0" fillId="0" borderId="6" xfId="0" applyNumberFormat="1" applyBorder="1"/>
    <xf numFmtId="166" fontId="0" fillId="0" borderId="3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35C7-CB4E-465E-AF04-269CAAA527BB}">
  <sheetPr codeName="Sheet2"/>
  <dimension ref="A1:J122"/>
  <sheetViews>
    <sheetView tabSelected="1" zoomScaleNormal="100" workbookViewId="0">
      <pane ySplit="1" topLeftCell="A2" activePane="bottomLeft" state="frozen"/>
      <selection pane="bottomLeft" activeCell="N19" sqref="N19"/>
    </sheetView>
  </sheetViews>
  <sheetFormatPr defaultRowHeight="14.4"/>
  <cols>
    <col min="2" max="2" width="10.5546875" bestFit="1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1" t="s">
        <v>5</v>
      </c>
      <c r="I1" s="2" t="s">
        <v>6</v>
      </c>
      <c r="J1" s="2" t="s">
        <v>7</v>
      </c>
    </row>
    <row r="2" spans="1:10">
      <c r="A2" s="7">
        <v>0</v>
      </c>
      <c r="B2" s="3">
        <v>44754</v>
      </c>
      <c r="D2">
        <v>1</v>
      </c>
      <c r="E2">
        <v>0</v>
      </c>
      <c r="F2">
        <v>0</v>
      </c>
      <c r="H2" s="3"/>
    </row>
    <row r="3" spans="1:10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0.39</v>
      </c>
      <c r="H3" s="13"/>
      <c r="I3" s="13"/>
      <c r="J3" s="13">
        <f>E3*F3*C3</f>
        <v>1.9914254825680981E-3</v>
      </c>
    </row>
    <row r="4" spans="1:10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1.3979999999999999</v>
      </c>
      <c r="H4" s="13">
        <v>1</v>
      </c>
      <c r="I4" s="13">
        <v>0.99324592130854139</v>
      </c>
      <c r="J4" s="13">
        <f t="shared" ref="J4:J35" si="0">J3+(E4*F4*C4)</f>
        <v>8.9727855224110108E-3</v>
      </c>
    </row>
    <row r="5" spans="1:10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1.6819999999999999</v>
      </c>
      <c r="H5" s="13"/>
      <c r="I5" s="13"/>
      <c r="J5" s="13">
        <f t="shared" si="0"/>
        <v>1.7449562484606416E-2</v>
      </c>
    </row>
    <row r="6" spans="1:10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1.3</v>
      </c>
      <c r="H6" s="13">
        <v>1</v>
      </c>
      <c r="I6" s="13">
        <v>1.9720276851954619</v>
      </c>
      <c r="J6" s="13">
        <f t="shared" si="0"/>
        <v>2.5636359907540013E-2</v>
      </c>
    </row>
    <row r="7" spans="1:10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/>
      <c r="H7" s="13"/>
      <c r="I7" s="13"/>
      <c r="J7" s="13">
        <f t="shared" si="0"/>
        <v>3.4079908544257236E-2</v>
      </c>
    </row>
    <row r="8" spans="1:10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1.4610000000000001</v>
      </c>
      <c r="H8" s="13">
        <v>1.005555555555556</v>
      </c>
      <c r="I8" s="13">
        <v>2.9414297196025889</v>
      </c>
      <c r="J8" s="13">
        <f t="shared" si="0"/>
        <v>4.2896039786607928E-2</v>
      </c>
    </row>
    <row r="9" spans="1:10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/>
      <c r="H9" s="13"/>
      <c r="I9" s="13"/>
      <c r="J9" s="13">
        <f t="shared" si="0"/>
        <v>5.2310065975705033E-2</v>
      </c>
    </row>
    <row r="10" spans="1:10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1.6040000000000001</v>
      </c>
      <c r="H10" s="13">
        <v>0.99722222222222223</v>
      </c>
      <c r="I10" s="13">
        <v>3.885933730799509</v>
      </c>
      <c r="J10" s="13">
        <f t="shared" si="0"/>
        <v>6.2290879943441235E-2</v>
      </c>
    </row>
    <row r="11" spans="1:10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/>
      <c r="H11" s="13"/>
      <c r="I11" s="13"/>
      <c r="J11" s="13">
        <f t="shared" si="0"/>
        <v>7.2817250066059339E-2</v>
      </c>
    </row>
    <row r="12" spans="1:10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1.7350000000000001</v>
      </c>
      <c r="H12" s="13">
        <v>0.99722222222222223</v>
      </c>
      <c r="I12" s="13">
        <v>4.811598115818974</v>
      </c>
      <c r="J12" s="13">
        <f t="shared" si="0"/>
        <v>8.3484467106331728E-2</v>
      </c>
    </row>
    <row r="13" spans="1:10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/>
      <c r="H13" s="13"/>
      <c r="I13" s="13"/>
      <c r="J13" s="13">
        <f t="shared" si="0"/>
        <v>9.438287628076146E-2</v>
      </c>
    </row>
    <row r="14" spans="1:10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1.839</v>
      </c>
      <c r="H14" s="13">
        <v>1</v>
      </c>
      <c r="I14" s="13">
        <v>5.7206152988521817</v>
      </c>
      <c r="J14" s="13">
        <f t="shared" si="0"/>
        <v>0.10520520285591206</v>
      </c>
    </row>
    <row r="15" spans="1:10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/>
      <c r="H15" s="13"/>
      <c r="I15" s="13"/>
      <c r="J15" s="13">
        <f t="shared" si="0"/>
        <v>0.11623325669476103</v>
      </c>
    </row>
    <row r="16" spans="1:10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1.925</v>
      </c>
      <c r="H16" s="13">
        <v>1</v>
      </c>
      <c r="I16" s="13">
        <v>6.6099276040569466</v>
      </c>
      <c r="J16" s="13">
        <f t="shared" si="0"/>
        <v>0.12724406795864956</v>
      </c>
    </row>
    <row r="17" spans="1:10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/>
      <c r="H17" s="13"/>
      <c r="I17" s="13"/>
      <c r="J17" s="13">
        <f t="shared" si="0"/>
        <v>0.13878155851553439</v>
      </c>
    </row>
    <row r="18" spans="1:10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2.0059999999999998</v>
      </c>
      <c r="H18" s="13">
        <v>1</v>
      </c>
      <c r="I18" s="13">
        <v>7.4787774117346002</v>
      </c>
      <c r="J18" s="13">
        <f t="shared" si="0"/>
        <v>0.15003007872915611</v>
      </c>
    </row>
    <row r="19" spans="1:10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/>
      <c r="H19" s="13"/>
      <c r="I19" s="13"/>
      <c r="J19" s="13">
        <f t="shared" si="0"/>
        <v>0.16173983138613873</v>
      </c>
    </row>
    <row r="20" spans="1:10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2.0830000000000002</v>
      </c>
      <c r="H20" s="13">
        <v>1.005555555555556</v>
      </c>
      <c r="I20" s="13">
        <v>8.3310575338641879</v>
      </c>
      <c r="J20" s="13">
        <f t="shared" si="0"/>
        <v>0.1734435366843462</v>
      </c>
    </row>
    <row r="21" spans="1:10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/>
      <c r="H21" s="13"/>
      <c r="I21" s="13"/>
      <c r="J21" s="13">
        <f t="shared" si="0"/>
        <v>0.18538751119687136</v>
      </c>
    </row>
    <row r="22" spans="1:10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2.1560000000000001</v>
      </c>
      <c r="H22" s="13">
        <v>0.99444444444444446</v>
      </c>
      <c r="I22" s="13">
        <v>9.152200448503967</v>
      </c>
      <c r="J22" s="13">
        <f t="shared" si="0"/>
        <v>0.19732675527344198</v>
      </c>
    </row>
    <row r="23" spans="1:10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/>
      <c r="H23" s="13"/>
      <c r="I23" s="13"/>
      <c r="J23" s="13">
        <f t="shared" si="0"/>
        <v>0.20917345613359695</v>
      </c>
    </row>
    <row r="24" spans="1:10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2.2170000000000001</v>
      </c>
      <c r="H24" s="13">
        <v>1</v>
      </c>
      <c r="I24" s="13">
        <v>9.9559673378271629</v>
      </c>
      <c r="J24" s="13">
        <f t="shared" si="0"/>
        <v>0.22072894614423624</v>
      </c>
    </row>
    <row r="25" spans="1:10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/>
      <c r="H25" s="13"/>
      <c r="I25" s="13"/>
      <c r="J25" s="13">
        <f t="shared" si="0"/>
        <v>0.23250418690601346</v>
      </c>
    </row>
    <row r="26" spans="1:10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2.2719999999999998</v>
      </c>
      <c r="H26" s="13">
        <v>1</v>
      </c>
      <c r="I26" s="13">
        <v>10.73747531975552</v>
      </c>
      <c r="J26" s="13">
        <f t="shared" si="0"/>
        <v>0.24396044225650515</v>
      </c>
    </row>
    <row r="27" spans="1:10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/>
      <c r="H27" s="13"/>
      <c r="I27" s="13"/>
      <c r="J27" s="13">
        <f t="shared" si="0"/>
        <v>0.25529013382844523</v>
      </c>
    </row>
    <row r="28" spans="1:10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2.3140000000000001</v>
      </c>
      <c r="H28" s="13">
        <v>1</v>
      </c>
      <c r="I28" s="13">
        <v>11.49768915162576</v>
      </c>
      <c r="J28" s="13">
        <f t="shared" si="0"/>
        <v>0.26606141749730089</v>
      </c>
    </row>
    <row r="29" spans="1:10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/>
      <c r="H29" s="13"/>
      <c r="I29" s="13"/>
      <c r="J29" s="13">
        <f t="shared" si="0"/>
        <v>0.27670115586748667</v>
      </c>
    </row>
    <row r="30" spans="1:10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2.342000000000001</v>
      </c>
      <c r="H30" s="13">
        <v>1.005555555555556</v>
      </c>
      <c r="I30" s="13">
        <v>12.241986968991471</v>
      </c>
      <c r="J30" s="13">
        <f t="shared" si="0"/>
        <v>0.28661584398657475</v>
      </c>
    </row>
    <row r="31" spans="1:10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/>
      <c r="H31" s="13"/>
      <c r="I31" s="13"/>
      <c r="J31" s="13">
        <f t="shared" si="0"/>
        <v>0.29599713494286589</v>
      </c>
    </row>
    <row r="32" spans="1:10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2.3530000000000002</v>
      </c>
      <c r="H32" s="13">
        <v>0.99722222222222223</v>
      </c>
      <c r="I32" s="13">
        <v>12.962258015672081</v>
      </c>
      <c r="J32" s="13">
        <f t="shared" si="0"/>
        <v>0.30495585463711411</v>
      </c>
    </row>
    <row r="33" spans="1:10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/>
      <c r="H33" s="13"/>
      <c r="I33" s="13"/>
      <c r="J33" s="13">
        <f t="shared" si="0"/>
        <v>0.31363459392432319</v>
      </c>
    </row>
    <row r="34" spans="1:10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2.355</v>
      </c>
      <c r="H34" s="13">
        <v>0.99722222222222223</v>
      </c>
      <c r="I34" s="13">
        <v>13.6657096315438</v>
      </c>
      <c r="J34" s="13">
        <f t="shared" si="0"/>
        <v>0.32182705774369619</v>
      </c>
    </row>
    <row r="35" spans="1:10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/>
      <c r="H35" s="13"/>
      <c r="I35" s="13"/>
      <c r="J35" s="13">
        <f t="shared" si="0"/>
        <v>0.32967292211190086</v>
      </c>
    </row>
    <row r="36" spans="1:10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2.347</v>
      </c>
      <c r="H36" s="13">
        <v>1</v>
      </c>
      <c r="I36" s="13">
        <v>14.355672784900211</v>
      </c>
      <c r="J36" s="13">
        <f t="shared" ref="J36:J67" si="1">J35+(E36*F36*C36)</f>
        <v>0.33692726931127592</v>
      </c>
    </row>
    <row r="37" spans="1:10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/>
      <c r="H37" s="13"/>
      <c r="I37" s="13"/>
      <c r="J37" s="13">
        <f t="shared" si="1"/>
        <v>0.34387240763219296</v>
      </c>
    </row>
    <row r="38" spans="1:10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2.331</v>
      </c>
      <c r="H38" s="13">
        <v>1</v>
      </c>
      <c r="I38" s="13">
        <v>15.031764642925969</v>
      </c>
      <c r="J38" s="13">
        <f t="shared" si="1"/>
        <v>0.35039012913392853</v>
      </c>
    </row>
    <row r="39" spans="1:10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/>
      <c r="H39" s="13"/>
      <c r="I39" s="13"/>
      <c r="J39" s="13">
        <f t="shared" si="1"/>
        <v>0.35674923845738432</v>
      </c>
    </row>
    <row r="40" spans="1:10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2.31</v>
      </c>
      <c r="H40" s="13">
        <v>1</v>
      </c>
      <c r="I40" s="13">
        <v>15.695006782773129</v>
      </c>
      <c r="J40" s="13">
        <f t="shared" si="1"/>
        <v>0.36255245631358574</v>
      </c>
    </row>
    <row r="41" spans="1:10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/>
      <c r="H41" s="13"/>
      <c r="I41" s="13"/>
      <c r="J41" s="13">
        <f t="shared" si="1"/>
        <v>0.36820763693746406</v>
      </c>
    </row>
    <row r="42" spans="1:10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2.2850000000000001</v>
      </c>
      <c r="H42" s="13">
        <v>1.005555555555556</v>
      </c>
      <c r="I42" s="13">
        <v>16.34998004180229</v>
      </c>
      <c r="J42" s="13">
        <f t="shared" si="1"/>
        <v>0.37351226126364112</v>
      </c>
    </row>
    <row r="43" spans="1:10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/>
      <c r="H43" s="13"/>
      <c r="I43" s="13"/>
      <c r="J43" s="13">
        <f t="shared" si="1"/>
        <v>0.37864741929483725</v>
      </c>
    </row>
    <row r="44" spans="1:10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/>
      <c r="H44" s="13"/>
      <c r="I44" s="13"/>
      <c r="J44" s="13">
        <f t="shared" si="1"/>
        <v>0.38363220979639029</v>
      </c>
    </row>
    <row r="45" spans="1:10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/>
      <c r="H45" s="13"/>
      <c r="I45" s="13"/>
      <c r="J45" s="13">
        <f t="shared" si="1"/>
        <v>0.38849364181490392</v>
      </c>
    </row>
    <row r="46" spans="1:10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/>
      <c r="H46" s="13"/>
      <c r="I46" s="13"/>
      <c r="J46" s="13">
        <f t="shared" si="1"/>
        <v>0.39318037445129428</v>
      </c>
    </row>
    <row r="47" spans="1:10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/>
      <c r="H47" s="13"/>
      <c r="I47" s="13"/>
      <c r="J47" s="13">
        <f t="shared" si="1"/>
        <v>0.39776954004394138</v>
      </c>
    </row>
    <row r="48" spans="1:10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/>
      <c r="H48" s="13"/>
      <c r="I48" s="13"/>
      <c r="J48" s="13">
        <f t="shared" si="1"/>
        <v>0.40213893790139749</v>
      </c>
    </row>
    <row r="49" spans="1:10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/>
      <c r="H49" s="13"/>
      <c r="I49" s="13"/>
      <c r="J49" s="13">
        <f t="shared" si="1"/>
        <v>0.40643455987734156</v>
      </c>
    </row>
    <row r="50" spans="1:10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/>
      <c r="H50" s="13"/>
      <c r="I50" s="13"/>
      <c r="J50" s="13">
        <f t="shared" si="1"/>
        <v>0.41051751667622127</v>
      </c>
    </row>
    <row r="51" spans="1:10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/>
      <c r="H51" s="13"/>
      <c r="I51" s="13"/>
      <c r="J51" s="13">
        <f t="shared" si="1"/>
        <v>0.41456692594253536</v>
      </c>
    </row>
    <row r="52" spans="1:10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"/>
        <v>0.41832427360729513</v>
      </c>
    </row>
    <row r="53" spans="1:10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/>
      <c r="H53" s="13"/>
      <c r="I53" s="13"/>
      <c r="J53" s="13">
        <f t="shared" si="1"/>
        <v>0.42206849504079469</v>
      </c>
    </row>
    <row r="54" spans="1:10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/>
      <c r="H54" s="13"/>
      <c r="I54" s="13"/>
      <c r="J54" s="13">
        <f t="shared" si="1"/>
        <v>0.42562643461607941</v>
      </c>
    </row>
    <row r="55" spans="1:10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/>
      <c r="H55" s="13"/>
      <c r="I55" s="13"/>
      <c r="J55" s="13">
        <f t="shared" si="1"/>
        <v>0.42909326383476432</v>
      </c>
    </row>
    <row r="56" spans="1:10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/>
      <c r="H56" s="13"/>
      <c r="I56" s="13"/>
      <c r="J56" s="13">
        <f t="shared" si="1"/>
        <v>0.43242778942310917</v>
      </c>
    </row>
    <row r="57" spans="1:10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/>
      <c r="H57" s="13"/>
      <c r="I57" s="13"/>
      <c r="J57" s="13">
        <f t="shared" si="1"/>
        <v>0.43573548547309154</v>
      </c>
    </row>
    <row r="58" spans="1:10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/>
      <c r="H58" s="13"/>
      <c r="I58" s="13"/>
      <c r="J58" s="13">
        <f t="shared" si="1"/>
        <v>0.4389222669339517</v>
      </c>
    </row>
    <row r="59" spans="1:10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/>
      <c r="H59" s="13"/>
      <c r="I59" s="13"/>
      <c r="J59" s="13">
        <f t="shared" si="1"/>
        <v>0.4421073859895901</v>
      </c>
    </row>
    <row r="60" spans="1:10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/>
      <c r="H60" s="13"/>
      <c r="I60" s="13"/>
      <c r="J60" s="13">
        <f t="shared" si="1"/>
        <v>0.44520009077424966</v>
      </c>
    </row>
    <row r="61" spans="1:10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/>
      <c r="H61" s="13"/>
      <c r="I61" s="13"/>
      <c r="J61" s="13">
        <f t="shared" si="1"/>
        <v>0.4483158553533626</v>
      </c>
    </row>
    <row r="62" spans="1:10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2.0209999999999999</v>
      </c>
      <c r="H62" s="13">
        <v>1</v>
      </c>
      <c r="I62" s="13">
        <v>22.334839906326771</v>
      </c>
      <c r="J62" s="13">
        <f t="shared" si="1"/>
        <v>0.45138238015393017</v>
      </c>
    </row>
    <row r="63" spans="1:10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/>
      <c r="H63" s="13"/>
      <c r="I63" s="13"/>
      <c r="J63" s="13">
        <f t="shared" si="1"/>
        <v>0.45449355101025046</v>
      </c>
    </row>
    <row r="64" spans="1:10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/>
      <c r="H64" s="13"/>
      <c r="I64" s="13"/>
      <c r="J64" s="13">
        <f t="shared" si="1"/>
        <v>0.45754740794881643</v>
      </c>
    </row>
    <row r="65" spans="1:10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/>
      <c r="H65" s="13"/>
      <c r="I65" s="13"/>
      <c r="J65" s="13">
        <f t="shared" si="1"/>
        <v>0.46059092422085812</v>
      </c>
    </row>
    <row r="66" spans="1:10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/>
      <c r="H66" s="13"/>
      <c r="I66" s="13"/>
      <c r="J66" s="13">
        <f t="shared" si="1"/>
        <v>0.46362029977889097</v>
      </c>
    </row>
    <row r="67" spans="1:10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/>
      <c r="H67" s="13"/>
      <c r="I67" s="13"/>
      <c r="J67" s="13">
        <f t="shared" si="1"/>
        <v>0.46664876414307332</v>
      </c>
    </row>
    <row r="68" spans="1:10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/>
      <c r="H68" s="13"/>
      <c r="I68" s="13"/>
      <c r="J68" s="13">
        <f t="shared" ref="J68:J99" si="2">J67+(E68*F68*C68)</f>
        <v>0.4696234197834141</v>
      </c>
    </row>
    <row r="69" spans="1:10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/>
      <c r="H69" s="13"/>
      <c r="I69" s="13"/>
      <c r="J69" s="13">
        <f t="shared" si="2"/>
        <v>0.47262294090592966</v>
      </c>
    </row>
    <row r="70" spans="1:10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/>
      <c r="H70" s="13"/>
      <c r="I70" s="13"/>
      <c r="J70" s="13">
        <f t="shared" si="2"/>
        <v>0.47556248011103802</v>
      </c>
    </row>
    <row r="71" spans="1:10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/>
      <c r="H71" s="13"/>
      <c r="I71" s="13"/>
      <c r="J71" s="13">
        <f t="shared" si="2"/>
        <v>0.47850343426117148</v>
      </c>
    </row>
    <row r="72" spans="1:10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1.923</v>
      </c>
      <c r="H72" s="13">
        <v>1</v>
      </c>
      <c r="I72" s="13">
        <v>25.032159696291082</v>
      </c>
      <c r="J72" s="13">
        <f t="shared" si="2"/>
        <v>0.48136319514146864</v>
      </c>
    </row>
    <row r="73" spans="1:10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/>
      <c r="H73" s="13"/>
      <c r="I73" s="13"/>
      <c r="J73" s="13">
        <f t="shared" si="2"/>
        <v>0.48426444502060012</v>
      </c>
    </row>
    <row r="74" spans="1:10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/>
      <c r="H74" s="13"/>
      <c r="I74" s="13"/>
      <c r="J74" s="13">
        <f t="shared" si="2"/>
        <v>0.4870177558517419</v>
      </c>
    </row>
    <row r="75" spans="1:10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/>
      <c r="H75" s="13"/>
      <c r="I75" s="13"/>
      <c r="J75" s="13">
        <f t="shared" si="2"/>
        <v>0.48982038459622945</v>
      </c>
    </row>
    <row r="76" spans="1:10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/>
      <c r="H76" s="13"/>
      <c r="I76" s="13"/>
      <c r="J76" s="13">
        <f t="shared" si="2"/>
        <v>0.49253213012067271</v>
      </c>
    </row>
    <row r="77" spans="1:10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/>
      <c r="H77" s="13"/>
      <c r="I77" s="13"/>
      <c r="J77" s="13">
        <f t="shared" si="2"/>
        <v>0.4951959038595905</v>
      </c>
    </row>
    <row r="78" spans="1:10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/>
      <c r="H78" s="13"/>
      <c r="I78" s="13"/>
      <c r="J78" s="13">
        <f t="shared" si="2"/>
        <v>0.49780921440086667</v>
      </c>
    </row>
    <row r="79" spans="1:10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/>
      <c r="H79" s="13"/>
      <c r="I79" s="13"/>
      <c r="J79" s="13">
        <f t="shared" si="2"/>
        <v>0.50039715759861314</v>
      </c>
    </row>
    <row r="80" spans="1:10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/>
      <c r="H80" s="13"/>
      <c r="I80" s="13"/>
      <c r="J80" s="13">
        <f t="shared" si="2"/>
        <v>0.50288736838342718</v>
      </c>
    </row>
    <row r="81" spans="1:10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/>
      <c r="H81" s="13"/>
      <c r="I81" s="13"/>
      <c r="J81" s="13">
        <f t="shared" si="2"/>
        <v>0.50535980179759898</v>
      </c>
    </row>
    <row r="82" spans="1:10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1.843</v>
      </c>
      <c r="H82" s="13">
        <v>1</v>
      </c>
      <c r="I82" s="13">
        <v>27.549491555734601</v>
      </c>
      <c r="J82" s="13">
        <f t="shared" si="2"/>
        <v>0.50773150318157001</v>
      </c>
    </row>
    <row r="83" spans="1:10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/>
      <c r="H83" s="13"/>
      <c r="I83" s="13"/>
      <c r="J83" s="13">
        <f t="shared" si="2"/>
        <v>0.51007970745697795</v>
      </c>
    </row>
    <row r="84" spans="1:10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/>
      <c r="H84" s="13"/>
      <c r="I84" s="13"/>
      <c r="J84" s="13">
        <f t="shared" si="2"/>
        <v>0.51233079926863567</v>
      </c>
    </row>
    <row r="85" spans="1:10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/>
      <c r="H85" s="13"/>
      <c r="I85" s="13"/>
      <c r="J85" s="13">
        <f t="shared" si="2"/>
        <v>0.51458720716659745</v>
      </c>
    </row>
    <row r="86" spans="1:10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/>
      <c r="H86" s="13"/>
      <c r="I86" s="13"/>
      <c r="J86" s="13">
        <f t="shared" si="2"/>
        <v>0.51674323379618436</v>
      </c>
    </row>
    <row r="87" spans="1:10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/>
      <c r="H87" s="13"/>
      <c r="I87" s="13"/>
      <c r="J87" s="13">
        <f t="shared" si="2"/>
        <v>0.51885152666769929</v>
      </c>
    </row>
    <row r="88" spans="1:10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/>
      <c r="H88" s="13"/>
      <c r="I88" s="13"/>
      <c r="J88" s="13">
        <f t="shared" si="2"/>
        <v>0.52091596341586666</v>
      </c>
    </row>
    <row r="89" spans="1:10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/>
      <c r="H89" s="13"/>
      <c r="I89" s="13"/>
      <c r="J89" s="13">
        <f t="shared" si="2"/>
        <v>0.5229509358503015</v>
      </c>
    </row>
    <row r="90" spans="1:10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/>
      <c r="H90" s="13"/>
      <c r="I90" s="13"/>
      <c r="J90" s="13">
        <f t="shared" si="2"/>
        <v>0.52492701162581046</v>
      </c>
    </row>
    <row r="91" spans="1:10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/>
      <c r="H91" s="13"/>
      <c r="I91" s="13"/>
      <c r="J91" s="13">
        <f t="shared" si="2"/>
        <v>0.52690185847182291</v>
      </c>
    </row>
    <row r="92" spans="1:10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/>
      <c r="H92" s="13"/>
      <c r="I92" s="13"/>
      <c r="J92" s="13">
        <f t="shared" si="2"/>
        <v>0.5288144890828923</v>
      </c>
    </row>
    <row r="93" spans="1:10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/>
      <c r="H93" s="13"/>
      <c r="I93" s="13"/>
      <c r="J93" s="13">
        <f t="shared" si="2"/>
        <v>0.53073160816695997</v>
      </c>
    </row>
    <row r="94" spans="1:10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/>
      <c r="H94" s="13"/>
      <c r="I94" s="13"/>
      <c r="J94" s="13">
        <f t="shared" si="2"/>
        <v>0.53260420693112009</v>
      </c>
    </row>
    <row r="95" spans="1:10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/>
      <c r="H95" s="13"/>
      <c r="I95" s="13"/>
      <c r="J95" s="13">
        <f t="shared" si="2"/>
        <v>0.53449689183058302</v>
      </c>
    </row>
    <row r="96" spans="1:10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/>
      <c r="H96" s="13"/>
      <c r="I96" s="13"/>
      <c r="J96" s="13">
        <f t="shared" si="2"/>
        <v>0.53630143700254429</v>
      </c>
    </row>
    <row r="97" spans="1:10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/>
      <c r="H97" s="13"/>
      <c r="I97" s="13"/>
      <c r="J97" s="13">
        <f t="shared" si="2"/>
        <v>0.53815202146222518</v>
      </c>
    </row>
    <row r="98" spans="1:10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/>
      <c r="H98" s="13"/>
      <c r="I98" s="13"/>
      <c r="J98" s="13">
        <f t="shared" si="2"/>
        <v>0.5399614027518872</v>
      </c>
    </row>
    <row r="99" spans="1:10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/>
      <c r="H99" s="13"/>
      <c r="I99" s="13"/>
      <c r="J99" s="13">
        <f t="shared" si="2"/>
        <v>0.54176269762324336</v>
      </c>
    </row>
    <row r="100" spans="1:10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/>
      <c r="H100" s="13"/>
      <c r="I100" s="13"/>
      <c r="J100" s="13">
        <f t="shared" ref="J100:J122" si="3">J99+(E100*F100*C100)</f>
        <v>0.54355869554884118</v>
      </c>
    </row>
    <row r="101" spans="1:10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/>
      <c r="H101" s="13"/>
      <c r="I101" s="13"/>
      <c r="J101" s="13">
        <f t="shared" si="3"/>
        <v>0.54536221516969552</v>
      </c>
    </row>
    <row r="102" spans="1:10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1.7030000000000001</v>
      </c>
      <c r="H102" s="13">
        <v>0.99722222222222223</v>
      </c>
      <c r="I102" s="13">
        <v>32.129337357042132</v>
      </c>
      <c r="J102" s="13">
        <f t="shared" si="3"/>
        <v>0.54715629781242514</v>
      </c>
    </row>
    <row r="103" spans="1:10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/>
      <c r="H103" s="13"/>
      <c r="I103" s="13"/>
      <c r="J103" s="13">
        <f t="shared" si="3"/>
        <v>0.5489727973866656</v>
      </c>
    </row>
    <row r="104" spans="1:10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/>
      <c r="H104" s="13"/>
      <c r="I104" s="13"/>
      <c r="J104" s="13">
        <f t="shared" si="3"/>
        <v>0.55076228481826228</v>
      </c>
    </row>
    <row r="105" spans="1:10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/>
      <c r="H105" s="13"/>
      <c r="I105" s="13"/>
      <c r="J105" s="13">
        <f t="shared" si="3"/>
        <v>0.55258340260429739</v>
      </c>
    </row>
    <row r="106" spans="1:10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/>
      <c r="H106" s="13"/>
      <c r="I106" s="13"/>
      <c r="J106" s="13">
        <f t="shared" si="3"/>
        <v>0.55437617562992303</v>
      </c>
    </row>
    <row r="107" spans="1:10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/>
      <c r="H107" s="13"/>
      <c r="I107" s="13"/>
      <c r="J107" s="13">
        <f t="shared" si="3"/>
        <v>0.55621918177883822</v>
      </c>
    </row>
    <row r="108" spans="1:10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/>
      <c r="H108" s="13"/>
      <c r="I108" s="13"/>
      <c r="J108" s="13">
        <f t="shared" si="3"/>
        <v>0.55799309229472238</v>
      </c>
    </row>
    <row r="109" spans="1:10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/>
      <c r="H109" s="13"/>
      <c r="I109" s="13"/>
      <c r="J109" s="13">
        <f t="shared" si="3"/>
        <v>0.55982577724708593</v>
      </c>
    </row>
    <row r="110" spans="1:10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/>
      <c r="H110" s="13"/>
      <c r="I110" s="13"/>
      <c r="J110" s="13">
        <f t="shared" si="3"/>
        <v>0.56162763301931828</v>
      </c>
    </row>
    <row r="111" spans="1:10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/>
      <c r="H111" s="13"/>
      <c r="I111" s="13"/>
      <c r="J111" s="13">
        <f t="shared" si="3"/>
        <v>0.56343769860626047</v>
      </c>
    </row>
    <row r="112" spans="1:10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/>
      <c r="H112" s="13"/>
      <c r="I112" s="13"/>
      <c r="J112" s="13">
        <f t="shared" si="3"/>
        <v>0.56522565643878153</v>
      </c>
    </row>
    <row r="113" spans="1:10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/>
      <c r="H113" s="13"/>
      <c r="I113" s="13"/>
      <c r="J113" s="13">
        <f t="shared" si="3"/>
        <v>0.56704030590138677</v>
      </c>
    </row>
    <row r="114" spans="1:10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/>
      <c r="H114" s="13"/>
      <c r="I114" s="13"/>
      <c r="J114" s="13">
        <f t="shared" si="3"/>
        <v>0.56882191261967208</v>
      </c>
    </row>
    <row r="115" spans="1:10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/>
      <c r="H115" s="13"/>
      <c r="I115" s="13"/>
      <c r="J115" s="13">
        <f t="shared" si="3"/>
        <v>0.57062892860686798</v>
      </c>
    </row>
    <row r="116" spans="1:10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/>
      <c r="H116" s="13"/>
      <c r="I116" s="13"/>
      <c r="J116" s="13">
        <f t="shared" si="3"/>
        <v>0.57240187520668706</v>
      </c>
    </row>
    <row r="117" spans="1:10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/>
      <c r="H117" s="13"/>
      <c r="I117" s="13"/>
      <c r="J117" s="13">
        <f t="shared" si="3"/>
        <v>0.57419892796122274</v>
      </c>
    </row>
    <row r="118" spans="1:10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/>
      <c r="H118" s="13"/>
      <c r="I118" s="13"/>
      <c r="J118" s="13">
        <f t="shared" si="3"/>
        <v>0.57597065544727122</v>
      </c>
    </row>
    <row r="119" spans="1:10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/>
      <c r="H119" s="13"/>
      <c r="I119" s="13"/>
      <c r="J119" s="13">
        <f t="shared" si="3"/>
        <v>0.57776509136453869</v>
      </c>
    </row>
    <row r="120" spans="1:10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/>
      <c r="H120" s="13"/>
      <c r="I120" s="13"/>
      <c r="J120" s="13">
        <f t="shared" si="3"/>
        <v>0.57952348831144218</v>
      </c>
    </row>
    <row r="121" spans="1:10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/>
      <c r="H121" s="13"/>
      <c r="I121" s="13"/>
      <c r="J121" s="13">
        <f t="shared" si="3"/>
        <v>0.58127448638549373</v>
      </c>
    </row>
    <row r="122" spans="1:10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1.609</v>
      </c>
      <c r="H122" s="13">
        <v>0.99722222222222223</v>
      </c>
      <c r="I122" s="13">
        <v>36.236229389371289</v>
      </c>
      <c r="J122" s="13">
        <f t="shared" si="3"/>
        <v>0.58301744334101591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0920F-0FCF-4CD4-8E3A-A7AC0A1EAB77}">
  <sheetPr codeName="Sheet5"/>
  <dimension ref="A1:P122"/>
  <sheetViews>
    <sheetView zoomScaleNormal="100" workbookViewId="0">
      <pane ySplit="1" topLeftCell="A2" activePane="bottomLeft" state="frozen"/>
      <selection pane="bottomLeft" activeCell="O5" sqref="O5"/>
    </sheetView>
  </sheetViews>
  <sheetFormatPr defaultRowHeight="14.4"/>
  <cols>
    <col min="1" max="2" width="10.77734375" bestFit="1" customWidth="1"/>
    <col min="13" max="13" width="10.5546875" bestFit="1" customWidth="1"/>
    <col min="15" max="15" width="10.5546875" bestFit="1" customWidth="1"/>
    <col min="16" max="16" width="12.66406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L1" s="8"/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0.99999999999999989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0.38993534013760506</v>
      </c>
      <c r="H3" s="13"/>
      <c r="I3" s="13"/>
      <c r="J3" s="13">
        <f>E3*F3*C3</f>
        <v>1.9914254825680981E-3</v>
      </c>
      <c r="K3" s="13">
        <f>K4*(1+G4/100*F4)</f>
        <v>0.99801096131018441</v>
      </c>
      <c r="L3" s="13"/>
      <c r="M3" s="13">
        <f t="shared" ref="M3:M5" si="0">K3</f>
        <v>0.99801096131018441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1.3971867911785898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0.99104909443651013</v>
      </c>
      <c r="L4" s="13"/>
      <c r="M4" s="13">
        <f t="shared" si="0"/>
        <v>0.99104909443651013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1.6808051788737206</v>
      </c>
      <c r="H5" s="13"/>
      <c r="I5" s="13"/>
      <c r="J5" s="13">
        <f t="shared" si="1"/>
        <v>1.7449562484606416E-2</v>
      </c>
      <c r="K5" s="13">
        <f>(K6*(G6/100*I6-J5+C6)/C6)</f>
        <v>0.98260772564902987</v>
      </c>
      <c r="L5" s="13"/>
      <c r="M5" s="13">
        <f t="shared" si="0"/>
        <v>0.98260772564902987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1.297185836573665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0.97451189654430437</v>
      </c>
      <c r="L6" s="13"/>
      <c r="M6" s="13">
        <f>K6</f>
        <v>0.97451189654430437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0.96611520323529854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1.4556218569195694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0.95743889347642908</v>
      </c>
      <c r="L8" s="13"/>
      <c r="M8" s="13">
        <f t="shared" ref="M8" si="2">K8</f>
        <v>0.95743889347642908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0.94810189899659592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1.5952944046392095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0.93850806916681351</v>
      </c>
      <c r="L10" s="13"/>
      <c r="M10" s="13">
        <f t="shared" ref="M10" si="3">K10</f>
        <v>0.93850806916681351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0.92809018371178942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1.7221419932956803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0.91815406126429233</v>
      </c>
      <c r="L12" s="13"/>
      <c r="M12" s="13">
        <f t="shared" ref="M12" si="4">K12</f>
        <v>0.91815406126429233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0.90738862332670955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1.8214672280652948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0.89769463613970946</v>
      </c>
      <c r="L14" s="13"/>
      <c r="M14" s="13">
        <f t="shared" ref="M14" si="5">K14</f>
        <v>0.89769463613970946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0.88681817381695494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1.9023179777367527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0.87743656555737903</v>
      </c>
      <c r="L16" s="13"/>
      <c r="M16" s="13">
        <f t="shared" ref="M16" si="6">K16</f>
        <v>0.87743656555737903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0.86606844363918689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1.977484974832534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0.85708169460001027</v>
      </c>
      <c r="L18" s="13"/>
      <c r="M18" s="13">
        <f t="shared" ref="M18" si="7">K18</f>
        <v>0.85708169460001027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0.84554499068792688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2.0479145722921586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0.83678480413824441</v>
      </c>
      <c r="L20" s="13"/>
      <c r="M20" s="13">
        <f t="shared" ref="M20" si="8">K20</f>
        <v>0.83678480413824441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0.82500760867116929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2.1136230291027949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0.81703691288854108</v>
      </c>
      <c r="L22" s="13"/>
      <c r="M22" s="13">
        <f t="shared" ref="M22" si="9">K22</f>
        <v>0.81703691288854108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0.80532638991631322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2.1668987299777163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0.79880463011415104</v>
      </c>
      <c r="L24" s="13"/>
      <c r="M24" s="13">
        <f t="shared" ref="M24" si="10">K24</f>
        <v>0.79880463011415104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0.78710967116585184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2.2136217302796317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0.78192401203111261</v>
      </c>
      <c r="L26" s="13"/>
      <c r="M26" s="13">
        <f t="shared" ref="M26" si="11">K26</f>
        <v>0.78192401203111261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0.77059461693725329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2.2472679665335162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0.7674713305945019</v>
      </c>
      <c r="L28" s="13"/>
      <c r="M28" s="13">
        <f t="shared" ref="M28" si="12">K28</f>
        <v>0.7674713305945019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0.75673406030061829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2.2671521041200604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0.75587287824980576</v>
      </c>
      <c r="L30" s="13"/>
      <c r="M30" s="13">
        <f t="shared" ref="M30" si="13">K30</f>
        <v>0.75587287824980576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0.74629591444529553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2.2708772830530695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0.74799447566517008</v>
      </c>
      <c r="L32" s="13"/>
      <c r="M32" s="13">
        <f t="shared" ref="M32" si="14">K32</f>
        <v>0.74799447566517008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0.73900751481239124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2.2660601809612566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0.74318100952809985</v>
      </c>
      <c r="L34" s="13"/>
      <c r="M34" s="13">
        <f t="shared" ref="M34" si="15">K34</f>
        <v>0.74318100952809985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0.73491321825770073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2.2519514636934566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0.74178329256335085</v>
      </c>
      <c r="L36" s="13"/>
      <c r="M36" s="13">
        <f t="shared" ref="M36" si="17">K36</f>
        <v>0.74178329256335085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0.73431449918427127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2.2306516127353992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0.74373768130475626</v>
      </c>
      <c r="L38" s="13"/>
      <c r="M38" s="13">
        <f t="shared" ref="M38" si="18">K38</f>
        <v>0.74373768130475626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0.73673911347158638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2.2049382399184432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0.74880140229892866</v>
      </c>
      <c r="L40" s="13"/>
      <c r="M40" s="13">
        <f t="shared" ref="M40" si="19">K40</f>
        <v>0.74880140229892866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0.74241234342822471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2.1758217137774629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0.75689263741594104</v>
      </c>
      <c r="L42" s="14">
        <v>0.75689263741594104</v>
      </c>
      <c r="M42" s="13">
        <f>K42</f>
        <v>0.75689263741594104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0.75092103382821507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0.74511997618507286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0.73945818349347736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0.73399565982845016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0.72864260910935075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0.72354182694243929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0.71852296955156614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0.71374852530077404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0.70900902468917149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0.70460737822437636</v>
      </c>
      <c r="L52" s="13"/>
      <c r="M52" s="13">
        <f>K52</f>
        <v>0.70460737822437636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0.70021685162574132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0.6960406296780054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0.69196715800461051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0.68804502206611351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0.68415016199048251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0.6803935060356191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0.67663445424011592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0.67298020437223649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0.6692942376584774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1.8938886793527159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0.70086943947084424</v>
      </c>
      <c r="L62" s="13"/>
      <c r="M62" s="13">
        <f>K62</f>
        <v>0.70086943947084424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0.69698456158765931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0.69316639392300949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0.68935621787063472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0.68555873091179564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0.68175724596806675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0.67801821128419848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0.67424259716950052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0.67053722131368187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0.66682463336024633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1.7842734385273444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0.70994283357178833</v>
      </c>
      <c r="L72" s="13"/>
      <c r="M72" s="13">
        <f>K72</f>
        <v>0.70994283357178833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0.70601051546484728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0.70227310253694286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0.69846272742381421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0.69477007339399122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0.69113689156328717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0.68756668274657717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0.68402515037363276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0.68061158865637594</v>
      </c>
      <c r="L80" s="13"/>
      <c r="M80" s="13"/>
    </row>
    <row r="81" spans="1:16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0.67721645119463802</v>
      </c>
      <c r="L81" s="13"/>
      <c r="M81" s="13"/>
    </row>
    <row r="82" spans="1:16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1.6923880742303774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0.73597585966991097</v>
      </c>
      <c r="L82" s="14">
        <v>0.73597585966991097</v>
      </c>
      <c r="M82" s="13">
        <f>K82</f>
        <v>0.73597585966991097</v>
      </c>
    </row>
    <row r="83" spans="1:16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0.73244196634613845</v>
      </c>
      <c r="L83" s="13"/>
      <c r="M83" s="13"/>
    </row>
    <row r="84" spans="1:16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0.72904807105697778</v>
      </c>
      <c r="L84" s="13"/>
      <c r="M84" s="13"/>
    </row>
    <row r="85" spans="1:16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0.72563974066846837</v>
      </c>
      <c r="L85" s="13"/>
      <c r="M85" s="13"/>
    </row>
    <row r="86" spans="1:16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0.72237697284678304</v>
      </c>
      <c r="L86" s="13"/>
      <c r="M86" s="13"/>
      <c r="O86" s="3">
        <v>59364</v>
      </c>
      <c r="P86" s="14">
        <v>0.73608280089165101</v>
      </c>
    </row>
    <row r="87" spans="1:16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0.71918046873614139</v>
      </c>
      <c r="L87" s="13"/>
      <c r="M87" s="13"/>
      <c r="O87" s="3">
        <v>66670</v>
      </c>
      <c r="P87" s="14">
        <v>0.72884213817145704</v>
      </c>
    </row>
    <row r="88" spans="1:16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0.71604458609086674</v>
      </c>
      <c r="L88" s="13"/>
      <c r="M88" s="13"/>
      <c r="P88" s="13"/>
    </row>
    <row r="89" spans="1:16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0.71294763447322107</v>
      </c>
      <c r="L89" s="13"/>
      <c r="M89" s="13"/>
      <c r="O89" s="3">
        <v>63017</v>
      </c>
      <c r="P89" s="13" cm="1">
        <f t="array" ref="P89">interpolate(O86:O87,P86:P87,O89,"Natural Cubic Spline")</f>
        <v>0.73246246953155403</v>
      </c>
    </row>
    <row r="90" spans="1:16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0.70993473251326933</v>
      </c>
      <c r="L90" s="13"/>
      <c r="M90" s="13"/>
      <c r="O90" s="3">
        <v>66488</v>
      </c>
      <c r="P90" s="13" cm="1">
        <f t="array" ref="P90">interpolate(O86:O87,P86:P87,O90,"Natural Cubic Spline")</f>
        <v>0.72902251055238709</v>
      </c>
    </row>
    <row r="91" spans="1:16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0.70691806146471636</v>
      </c>
      <c r="L91" s="13"/>
      <c r="M91" s="13"/>
    </row>
    <row r="92" spans="1:16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0.7039910972569795</v>
      </c>
      <c r="L92" s="13"/>
      <c r="M92" s="13"/>
    </row>
    <row r="93" spans="1:16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0.70105189440109472</v>
      </c>
      <c r="L93" s="13"/>
      <c r="M93" s="13"/>
    </row>
    <row r="94" spans="1:16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0.69817583663040117</v>
      </c>
      <c r="L94" s="13"/>
      <c r="M94" s="13"/>
    </row>
    <row r="95" spans="1:16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0.69526374851674932</v>
      </c>
      <c r="L95" s="13"/>
      <c r="M95" s="13"/>
    </row>
    <row r="96" spans="1:16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0.69248262426343632</v>
      </c>
      <c r="L96" s="13"/>
      <c r="M96" s="13"/>
    </row>
    <row r="97" spans="1:13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0.68962574728338233</v>
      </c>
      <c r="L97" s="13"/>
      <c r="M97" s="13"/>
    </row>
    <row r="98" spans="1:13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0.68682800471049277</v>
      </c>
      <c r="L98" s="13"/>
      <c r="M98" s="13"/>
    </row>
    <row r="99" spans="1:13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0.68403846836616933</v>
      </c>
      <c r="L99" s="13"/>
      <c r="M99" s="13"/>
    </row>
    <row r="100" spans="1:13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0.6812530220893116</v>
      </c>
      <c r="L100" s="13"/>
      <c r="M100" s="13"/>
    </row>
    <row r="101" spans="1:13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0.67845194883338</v>
      </c>
      <c r="L101" s="13"/>
      <c r="M101" s="13"/>
    </row>
    <row r="102" spans="1:13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1.5976864338214212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0.79175727149446318</v>
      </c>
      <c r="L102" s="13"/>
      <c r="M102" s="13">
        <f>P89</f>
        <v>0.73246246953155403</v>
      </c>
    </row>
    <row r="103" spans="1:13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0.78844268249880911</v>
      </c>
      <c r="L103" s="13"/>
      <c r="M103" s="13"/>
    </row>
    <row r="104" spans="1:13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0.78517356644018255</v>
      </c>
      <c r="L104" s="13"/>
      <c r="M104" s="13"/>
    </row>
    <row r="105" spans="1:13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0.7818429603774294</v>
      </c>
      <c r="L105" s="13"/>
      <c r="M105" s="13"/>
    </row>
    <row r="106" spans="1:13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0.77856082632869239</v>
      </c>
      <c r="L106" s="13"/>
      <c r="M106" s="13"/>
    </row>
    <row r="107" spans="1:13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0.77518339271918657</v>
      </c>
      <c r="L107" s="13"/>
      <c r="M107" s="13"/>
    </row>
    <row r="108" spans="1:13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0.77192968593395828</v>
      </c>
      <c r="L108" s="13"/>
      <c r="M108" s="13"/>
    </row>
    <row r="109" spans="1:13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0.76856527362906024</v>
      </c>
      <c r="L109" s="13"/>
      <c r="M109" s="13"/>
    </row>
    <row r="110" spans="1:13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0.76525482435565617</v>
      </c>
      <c r="L110" s="13"/>
      <c r="M110" s="13"/>
    </row>
    <row r="111" spans="1:13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0.76192679404928387</v>
      </c>
      <c r="L111" s="13"/>
      <c r="M111" s="13"/>
    </row>
    <row r="112" spans="1:13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0.75863711538579226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0.75529609324945879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0.75201386867248665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0.7486828392803736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0.74541278025122448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0.74209645176401473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0.73882516230672357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0.73551025160537664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0.73226032383130979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0.7290225105523872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1.6056406888338979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(C122*P90)/(G122/100*I122-J121+C122)</f>
        <v>0.72800347860663284</v>
      </c>
      <c r="L122" s="14">
        <v>0.72800347862042603</v>
      </c>
      <c r="M122" s="13">
        <f>K122</f>
        <v>0.72800347860663284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CDB7-0E86-4E4A-BCCA-A0D90BC39A03}">
  <sheetPr codeName="Sheet7"/>
  <dimension ref="A1:Q122"/>
  <sheetViews>
    <sheetView zoomScaleNormal="100" workbookViewId="0">
      <pane ySplit="1" topLeftCell="A2" activePane="bottomLeft" state="frozen"/>
      <selection pane="bottomLeft" activeCell="Q11" sqref="Q11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  <col min="17" max="17" width="12.66406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0.9999999999375303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0.38997002102423367</v>
      </c>
      <c r="H3" s="13"/>
      <c r="I3" s="13"/>
      <c r="J3" s="13">
        <f>E3*F3*C3</f>
        <v>1.9914254825680981E-3</v>
      </c>
      <c r="K3" s="13">
        <f>K4*(1+G4/100*F4)</f>
        <v>0.99801078469444948</v>
      </c>
      <c r="L3" s="13"/>
      <c r="M3" s="13">
        <f t="shared" ref="M3:M5" si="0">K3</f>
        <v>0.99801078469444948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1.3976229636514661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0.9910467608694804</v>
      </c>
      <c r="L4" s="13"/>
      <c r="M4" s="13">
        <f t="shared" si="0"/>
        <v>0.9910467608694804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1.6814460332088543</v>
      </c>
      <c r="H5" s="13"/>
      <c r="I5" s="13"/>
      <c r="J5" s="13">
        <f t="shared" si="1"/>
        <v>1.7449562484606416E-2</v>
      </c>
      <c r="K5" s="13">
        <f>(K6*(G6/100*I6-J5+C6)/C6)</f>
        <v>0.9826022208805909</v>
      </c>
      <c r="L5" s="13"/>
      <c r="M5" s="13">
        <f t="shared" si="0"/>
        <v>0.9826022208805909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1.2986952585475557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0.97447704599308371</v>
      </c>
      <c r="L6" s="13"/>
      <c r="M6" s="13">
        <f>K6</f>
        <v>0.97447704599308371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0.96608065296711321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1.4585065664730659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0.95732115040700905</v>
      </c>
      <c r="L8" s="13"/>
      <c r="M8" s="13">
        <f t="shared" ref="M8" si="2">K8</f>
        <v>0.95732115040700905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0.94798530416378579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1.5999640304737111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0.93821472346961532</v>
      </c>
      <c r="L10" s="13"/>
      <c r="M10" s="13">
        <f t="shared" ref="M10" si="3">K10</f>
        <v>0.93821472346961532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0.92780009429119936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1.7290392825688361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0.91754254535421498</v>
      </c>
      <c r="L12" s="13"/>
      <c r="M12" s="13">
        <f t="shared" ref="M12" si="4">K12</f>
        <v>0.91754254535421498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0.90678427749500523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1.8308727835141432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0.89657172726522361</v>
      </c>
      <c r="L14" s="13"/>
      <c r="M14" s="13">
        <f t="shared" ref="M14" si="5">K14</f>
        <v>0.89657172726522361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0.88570887009902621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1.9144869422654365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0.87555545772909538</v>
      </c>
      <c r="L16" s="13"/>
      <c r="M16" s="13">
        <f t="shared" ref="M16" si="6">K16</f>
        <v>0.87555545772909538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0.86421170755921262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1.9927851025208909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0.85413101913998557</v>
      </c>
      <c r="L18" s="13"/>
      <c r="M18" s="13">
        <f t="shared" ref="M18" si="7">K18</f>
        <v>0.85413101913998557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0.84263403264263337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2.0667428772947591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0.83237948347818025</v>
      </c>
      <c r="L20" s="13"/>
      <c r="M20" s="13">
        <f t="shared" ref="M20" si="8">K20</f>
        <v>0.83237948347818025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0.82066429000044827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2.1363684023207834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0.81071146385463744</v>
      </c>
      <c r="L22" s="13"/>
      <c r="M22" s="13">
        <f t="shared" ref="M22" si="9">K22</f>
        <v>0.81071146385463744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0.7990916030239269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2.193795901957361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0.79000961012057058</v>
      </c>
      <c r="L24" s="13"/>
      <c r="M24" s="13">
        <f t="shared" ref="M24" si="10">K24</f>
        <v>0.79000961012057058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0.77844341532047079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2.2449706312318636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0.77002010163642887</v>
      </c>
      <c r="L26" s="13"/>
      <c r="M26" s="13">
        <f t="shared" ref="M26" si="11">K26</f>
        <v>0.77002010163642887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0.75886318379348927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2.2831134646097198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0.75172856179907976</v>
      </c>
      <c r="L28" s="13"/>
      <c r="M28" s="13">
        <f t="shared" ref="M28" si="12">K28</f>
        <v>0.75172856179907976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0.74121153994574651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2.3073702605896265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0.73548138049543921</v>
      </c>
      <c r="L30" s="13"/>
      <c r="M30" s="13">
        <f t="shared" ref="M30" si="13">K30</f>
        <v>0.73548138049543921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0.72616277843604882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2.3150193708789844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0.72208223216812739</v>
      </c>
      <c r="L32" s="13"/>
      <c r="M32" s="13">
        <f t="shared" ref="M32" si="14">K32</f>
        <v>0.72208223216812739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0.71340660024288982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2.3138836234549256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0.71081286606422134</v>
      </c>
      <c r="L34" s="13"/>
      <c r="M34" s="13">
        <f t="shared" ref="M34" si="15">K34</f>
        <v>0.71081286606422134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0.70290516614510634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2.303078272953714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0.70193922712891788</v>
      </c>
      <c r="L36" s="13"/>
      <c r="M36" s="13">
        <f t="shared" ref="M36" si="17">K36</f>
        <v>0.70193922712891788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0.69487161168832212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2.2846488349972867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0.69533377287524745</v>
      </c>
      <c r="L38" s="13"/>
      <c r="M38" s="13">
        <f t="shared" ref="M38" si="18">K38</f>
        <v>0.69533377287524745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0.68879068557647805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2.2614924069189999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0.6906733086925354</v>
      </c>
      <c r="L40" s="13"/>
      <c r="M40" s="13">
        <f t="shared" ref="M40" si="19">K40</f>
        <v>0.6906733086925354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0.68478022086429058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2.2346131547793382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0.68778840354786241</v>
      </c>
      <c r="L42" s="14">
        <v>0.68778840354786297</v>
      </c>
      <c r="M42" s="13">
        <f>K42</f>
        <v>0.68778840354786241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0.68236200686332749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0.67709058529304034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0.67194571379598622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0.66698191808020513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0.66211760043963486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0.65748251925374468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0.65292188311875998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0.64858334522481031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0.6442765606187435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0.64027678410441624</v>
      </c>
      <c r="L52" s="13"/>
      <c r="M52" s="13">
        <f>K52</f>
        <v>0.64027678410441624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0.63628711221340783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0.63249217897677179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0.62879061492310795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0.62522656966452783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0.62168730998483768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0.61827363640136201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0.61485778571729455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0.61153716855371043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0.60818773028959672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1.9030470103898394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0.63446193224419845</v>
      </c>
      <c r="L62" s="13"/>
      <c r="M62" s="13">
        <f>K62</f>
        <v>0.63446193224419845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0.63094514724903705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0.62748875166703677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0.62403959049059088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0.62060191611375359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0.61716062256182413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0.61377586209624269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0.61035798810757469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0.60700369728994596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0.60364287772226499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1.7942606736997408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0.63943130149550276</v>
      </c>
      <c r="L72" s="13"/>
      <c r="M72" s="13">
        <f>K72</f>
        <v>0.63943130149550276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0.63588954127747888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0.63252332825340674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0.62909139964935867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0.62576550006898979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0.62249316590809844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0.61927755028057807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0.61608776295203072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0.61301323623187332</v>
      </c>
      <c r="L80" s="13"/>
      <c r="M80" s="13"/>
    </row>
    <row r="81" spans="1:13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0.60995530386992103</v>
      </c>
      <c r="L81" s="13"/>
      <c r="M81" s="13"/>
    </row>
    <row r="82" spans="1:13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1.7028860617210784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0.65865323217466099</v>
      </c>
      <c r="L82" s="14">
        <v>0.65865323217466099</v>
      </c>
      <c r="M82" s="13">
        <f>K82</f>
        <v>0.65865323217466099</v>
      </c>
    </row>
    <row r="83" spans="1:13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0.655490614502789</v>
      </c>
      <c r="L83" s="13"/>
      <c r="M83" s="13"/>
    </row>
    <row r="84" spans="1:13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0.65245328648109191</v>
      </c>
      <c r="L84" s="13"/>
      <c r="M84" s="13"/>
    </row>
    <row r="85" spans="1:13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0.64940303993126935</v>
      </c>
      <c r="L85" s="13"/>
      <c r="M85" s="13"/>
    </row>
    <row r="86" spans="1:13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0.64648306294649116</v>
      </c>
      <c r="L86" s="13"/>
      <c r="M86" s="13"/>
    </row>
    <row r="87" spans="1:13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0.64362238791690807</v>
      </c>
      <c r="L87" s="13"/>
      <c r="M87" s="13"/>
    </row>
    <row r="88" spans="1:13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0.64081596537886865</v>
      </c>
      <c r="L88" s="13"/>
      <c r="M88" s="13"/>
    </row>
    <row r="89" spans="1:13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0.63804438372160377</v>
      </c>
      <c r="L89" s="13"/>
      <c r="M89" s="13"/>
    </row>
    <row r="90" spans="1:13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0.63534802135037383</v>
      </c>
      <c r="L90" s="13"/>
      <c r="M90" s="13"/>
    </row>
    <row r="91" spans="1:13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0.63264828587613109</v>
      </c>
      <c r="L91" s="13"/>
      <c r="M91" s="13"/>
    </row>
    <row r="92" spans="1:13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0.63002883251967168</v>
      </c>
      <c r="L92" s="13"/>
      <c r="M92" s="13"/>
    </row>
    <row r="93" spans="1:13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0.62739842632412912</v>
      </c>
      <c r="L93" s="13"/>
      <c r="M93" s="13"/>
    </row>
    <row r="94" spans="1:13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0.62482453110501424</v>
      </c>
      <c r="L94" s="13"/>
      <c r="M94" s="13"/>
    </row>
    <row r="95" spans="1:13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0.62221839093990816</v>
      </c>
      <c r="L95" s="13"/>
      <c r="M95" s="13"/>
    </row>
    <row r="96" spans="1:13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0.61972945539337343</v>
      </c>
      <c r="L96" s="13"/>
      <c r="M96" s="13"/>
    </row>
    <row r="97" spans="1:17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0.61717272580487592</v>
      </c>
      <c r="L97" s="13"/>
      <c r="M97" s="13"/>
    </row>
    <row r="98" spans="1:17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0.61466891788208233</v>
      </c>
      <c r="L98" s="13"/>
      <c r="M98" s="13"/>
      <c r="P98" s="3">
        <v>59364</v>
      </c>
      <c r="Q98" s="13">
        <f>L82</f>
        <v>0.65865323217466099</v>
      </c>
    </row>
    <row r="99" spans="1:17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0.61217245403029052</v>
      </c>
      <c r="L99" s="13"/>
      <c r="M99" s="13"/>
      <c r="P99" s="3">
        <v>66670</v>
      </c>
      <c r="Q99" s="13">
        <f>L122</f>
        <v>0.69543525122358396</v>
      </c>
    </row>
    <row r="100" spans="1:17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0.60967965053789874</v>
      </c>
      <c r="L100" s="13"/>
      <c r="M100" s="13"/>
      <c r="Q100" s="13"/>
    </row>
    <row r="101" spans="1:17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0.60717286185816566</v>
      </c>
      <c r="L101" s="13"/>
      <c r="M101" s="13"/>
      <c r="P101" s="3">
        <v>63017</v>
      </c>
      <c r="Q101" s="13" cm="1">
        <f t="array" ref="Q101">interpolate(P98:P99,Q98:Q99,P101,"Natural Cubic Spline")</f>
        <v>0.67704424169912247</v>
      </c>
    </row>
    <row r="102" spans="1:17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1.5578470393867621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0.75428459236567935</v>
      </c>
      <c r="L102" s="13"/>
      <c r="M102" s="13">
        <f>Q101</f>
        <v>0.67704424169912247</v>
      </c>
      <c r="P102" s="3">
        <v>66488</v>
      </c>
      <c r="Q102" s="13" cm="1">
        <f t="array" ref="Q102">interpolate(P98:P99,Q98:Q99,P102,"Natural Cubic Spline")</f>
        <v>0.69451897316898448</v>
      </c>
    </row>
    <row r="103" spans="1:17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0.75112687787481325</v>
      </c>
      <c r="L103" s="13"/>
      <c r="M103" s="13"/>
    </row>
    <row r="104" spans="1:17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0.74801248415535571</v>
      </c>
      <c r="L104" s="13"/>
      <c r="M104" s="13"/>
    </row>
    <row r="105" spans="1:17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0.7448395106610517</v>
      </c>
      <c r="L105" s="13"/>
      <c r="M105" s="13"/>
    </row>
    <row r="106" spans="1:17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0.74171271507334813</v>
      </c>
      <c r="L106" s="13"/>
      <c r="M106" s="13"/>
    </row>
    <row r="107" spans="1:17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0.73849513030954839</v>
      </c>
      <c r="L107" s="13"/>
      <c r="M107" s="13"/>
    </row>
    <row r="108" spans="1:17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0.73539541656578833</v>
      </c>
      <c r="L108" s="13"/>
      <c r="M108" s="13"/>
    </row>
    <row r="109" spans="1:17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0.73219023682786177</v>
      </c>
      <c r="L109" s="13"/>
      <c r="M109" s="13"/>
    </row>
    <row r="110" spans="1:17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0.72903646613242667</v>
      </c>
      <c r="L110" s="13"/>
      <c r="M110" s="13"/>
    </row>
    <row r="111" spans="1:17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0.72586594648783354</v>
      </c>
      <c r="L111" s="13"/>
      <c r="M111" s="13"/>
    </row>
    <row r="112" spans="1:17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0.72273196336062806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0.71954906676981767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0.7164221849384439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0.71324880815032099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0.71013351608971531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0.70697414443480888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0.70385768018037187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0.70069965920965871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0.69760354562215365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0.69451897316898437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1.6026987050079975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(C122*Q102)/(G122/100*I122-J121+C122)</f>
        <v>0.69543525122358396</v>
      </c>
      <c r="L122" s="14">
        <v>0.69543525122358396</v>
      </c>
      <c r="M122" s="13">
        <f>K122</f>
        <v>0.69543525122358396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D3E77-5B3D-4094-8995-4CC2D54C158C}">
  <sheetPr codeName="Sheet8"/>
  <dimension ref="A1:R122"/>
  <sheetViews>
    <sheetView zoomScaleNormal="100" workbookViewId="0">
      <pane ySplit="1" topLeftCell="A2" activePane="bottomLeft" state="frozen"/>
      <selection pane="bottomLeft" activeCell="F120" sqref="F120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1.0000000000956852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0.39000706042059496</v>
      </c>
      <c r="H3" s="13"/>
      <c r="I3" s="13"/>
      <c r="J3" s="13">
        <f>E3*F3*C3</f>
        <v>1.9914254825680981E-3</v>
      </c>
      <c r="K3" s="13">
        <f>K4*(1+G4/100*F4)</f>
        <v>0.99801059629227273</v>
      </c>
      <c r="L3" s="13"/>
      <c r="M3" s="13">
        <f t="shared" ref="M3:M5" si="0">K3</f>
        <v>0.99801059629227273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1.3980887965162132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0.99104426884970065</v>
      </c>
      <c r="L4" s="13"/>
      <c r="M4" s="13">
        <f t="shared" si="0"/>
        <v>0.99104426884970065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1.6821304656195899</v>
      </c>
      <c r="H5" s="13"/>
      <c r="I5" s="13"/>
      <c r="J5" s="13">
        <f t="shared" si="1"/>
        <v>1.7449562484606416E-2</v>
      </c>
      <c r="K5" s="13">
        <f>(K6*(G6/100*I6-J5+C6)/C6)</f>
        <v>0.98259634205532609</v>
      </c>
      <c r="L5" s="13"/>
      <c r="M5" s="13">
        <f t="shared" si="0"/>
        <v>0.98259634205532609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1.3003072783207279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0.97443982902614046</v>
      </c>
      <c r="L6" s="13"/>
      <c r="M6" s="13">
        <f>K6</f>
        <v>0.97443982902614046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0.96604375667296871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1.4615872169961439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0.95719543319453837</v>
      </c>
      <c r="L8" s="13"/>
      <c r="M8" s="13">
        <f t="shared" ref="M8" si="2">K8</f>
        <v>0.95719543319453837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0.94786081295218771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1.6049504716968752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0.9379016122041085</v>
      </c>
      <c r="L10" s="13"/>
      <c r="M10" s="13">
        <f t="shared" ref="M10" si="3">K10</f>
        <v>0.9379016122041085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0.92749045870949953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1.7364037073791196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0.916890189919504</v>
      </c>
      <c r="L12" s="13"/>
      <c r="M12" s="13">
        <f t="shared" ref="M12" si="4">K12</f>
        <v>0.916890189919504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0.90613957098572173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1.8409138272337067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0.89537486493699958</v>
      </c>
      <c r="L14" s="13"/>
      <c r="M14" s="13">
        <f t="shared" ref="M14" si="5">K14</f>
        <v>0.89537486493699958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0.88452650894691975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1.927475531683015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0.8735529957818583</v>
      </c>
      <c r="L16" s="13"/>
      <c r="M16" s="13">
        <f t="shared" ref="M16" si="6">K16</f>
        <v>0.8735529957818583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0.86223518963168733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2.0091115461467925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0.85099557919137525</v>
      </c>
      <c r="L18" s="13"/>
      <c r="M18" s="13">
        <f t="shared" ref="M18" si="7">K18</f>
        <v>0.85099557919137525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0.83954079712161633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2.0868275646670895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0.82770972122362241</v>
      </c>
      <c r="L20" s="13"/>
      <c r="M20" s="13">
        <f t="shared" ref="M20" si="8">K20</f>
        <v>0.82770972122362241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0.81606025157665885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2.1606216117006878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0.80402811147188791</v>
      </c>
      <c r="L22" s="13"/>
      <c r="M22" s="13">
        <f t="shared" ref="M22" si="9">K22</f>
        <v>0.80402811147188791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0.79250404258200047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2.2224620283945042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0.78075614367252877</v>
      </c>
      <c r="L24" s="13"/>
      <c r="M24" s="13">
        <f t="shared" ref="M24" si="10">K24</f>
        <v>0.78075614367252877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0.76932542494024281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2.2783616216109315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0.75756288610561606</v>
      </c>
      <c r="L26" s="13"/>
      <c r="M26" s="13">
        <f t="shared" ref="M26" si="11">K26</f>
        <v>0.75756288610561606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0.74658646242111948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2.3212683614370877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0.7353636297605548</v>
      </c>
      <c r="L28" s="13"/>
      <c r="M28" s="13">
        <f t="shared" ref="M28" si="12">K28</f>
        <v>0.7353636297605548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0.72507556069234069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2.3501479043932538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0.71445443844364009</v>
      </c>
      <c r="L30" s="13"/>
      <c r="M30" s="13">
        <f t="shared" ref="M30" si="13">K30</f>
        <v>0.71445443844364009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0.70540224925438189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2.3619348328518472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0.69561446295393481</v>
      </c>
      <c r="L32" s="13"/>
      <c r="M32" s="13">
        <f t="shared" ref="M32" si="14">K32</f>
        <v>0.69561446295393481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0.68725683445456043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2.3646708157515826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0.67811060483403507</v>
      </c>
      <c r="L34" s="13"/>
      <c r="M34" s="13">
        <f t="shared" ref="M34" si="15">K34</f>
        <v>0.67811060483403507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0.67056671328253825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2.357328809204295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0.66218104938410294</v>
      </c>
      <c r="L36" s="13"/>
      <c r="M36" s="13">
        <f t="shared" ref="M36" si="17">K36</f>
        <v>0.66218104938410294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0.65551374710461741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2.3418981995304011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0.64770004160111116</v>
      </c>
      <c r="L38" s="13"/>
      <c r="M38" s="13">
        <f t="shared" ref="M38" si="18">K38</f>
        <v>0.64770004160111116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0.6416051874735913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2.3214032003355198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0.63434099907471742</v>
      </c>
      <c r="L40" s="13"/>
      <c r="M40" s="13">
        <f t="shared" ref="M40" si="19">K40</f>
        <v>0.63434099907471742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0.62892855997571639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2.2968428936907683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0.62193373585604406</v>
      </c>
      <c r="L42" s="14">
        <v>0.62193373585604395</v>
      </c>
      <c r="M42" s="13">
        <f>K42</f>
        <v>0.62193373585604406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0.61702690819678008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0.61226021702611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0.60760795895639463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0.60311943894410991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0.59872087213637537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0.59452959275006023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0.59040563041705219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0.58648250076464981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0.58258808407230434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0.57897127992539965</v>
      </c>
      <c r="L52" s="13"/>
      <c r="M52" s="13">
        <f>K52</f>
        <v>0.57897127992539965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0.57536361289987958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0.57193203860608433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0.56858489354151154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0.56536210006172216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0.56216171898027356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0.55907489932205812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0.55598611101723949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0.55298343777174352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0.54995470300117466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2.0084248625063919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0.54969782868259864</v>
      </c>
      <c r="L62" s="13"/>
      <c r="M62" s="13">
        <f>K62</f>
        <v>0.54969782868259864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0.54665088610411194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0.54365626491419572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0.54066791161337246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0.53768951047592184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0.53470797368511092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0.5317754171612552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0.52881417108044482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0.52590801346008376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0.5229961993305684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1.9093483022109639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0.52354741254148462</v>
      </c>
      <c r="L72" s="13"/>
      <c r="M72" s="13">
        <f>K72</f>
        <v>0.52354741254148462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0.52064752416621751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0.51789136863442764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0.51508140713195794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0.51235825905396659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0.50967896875507313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0.50704611791155196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0.50443441451431015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0.50191708308970928</v>
      </c>
      <c r="L80" s="13"/>
      <c r="M80" s="13"/>
    </row>
    <row r="81" spans="1:13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0.49941333863415538</v>
      </c>
      <c r="L81" s="13"/>
      <c r="M81" s="13"/>
    </row>
    <row r="82" spans="1:13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1.8138430084796742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0.50524538755413995</v>
      </c>
      <c r="L82" s="14">
        <v>0.50524538755413995</v>
      </c>
      <c r="M82" s="13">
        <f>K82</f>
        <v>0.50524538755413995</v>
      </c>
    </row>
    <row r="83" spans="1:13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0.50281937958324641</v>
      </c>
      <c r="L83" s="13"/>
      <c r="M83" s="13"/>
    </row>
    <row r="84" spans="1:13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0.50048947987504233</v>
      </c>
      <c r="L84" s="13"/>
      <c r="M84" s="13"/>
    </row>
    <row r="85" spans="1:13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0.49814967051114911</v>
      </c>
      <c r="L85" s="13"/>
      <c r="M85" s="13"/>
    </row>
    <row r="86" spans="1:13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0.49590978944588437</v>
      </c>
      <c r="L86" s="13"/>
      <c r="M86" s="13"/>
    </row>
    <row r="87" spans="1:13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0.49371539823456956</v>
      </c>
      <c r="L87" s="13"/>
      <c r="M87" s="13"/>
    </row>
    <row r="88" spans="1:13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0.49156262349118779</v>
      </c>
      <c r="L88" s="13"/>
      <c r="M88" s="13"/>
    </row>
    <row r="89" spans="1:13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0.48943657479035729</v>
      </c>
      <c r="L89" s="13"/>
      <c r="M89" s="13"/>
    </row>
    <row r="90" spans="1:13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0.48736822594654983</v>
      </c>
      <c r="L90" s="13"/>
      <c r="M90" s="13"/>
    </row>
    <row r="91" spans="1:13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0.48529728963386548</v>
      </c>
      <c r="L91" s="13"/>
      <c r="M91" s="13"/>
    </row>
    <row r="92" spans="1:13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0.48328793681873594</v>
      </c>
      <c r="L92" s="13"/>
      <c r="M92" s="13"/>
    </row>
    <row r="93" spans="1:13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0.48127018220557816</v>
      </c>
      <c r="L93" s="13"/>
      <c r="M93" s="13"/>
    </row>
    <row r="94" spans="1:13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0.4792957765183673</v>
      </c>
      <c r="L94" s="13"/>
      <c r="M94" s="13"/>
    </row>
    <row r="95" spans="1:13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0.47729663610059092</v>
      </c>
      <c r="L95" s="13"/>
      <c r="M95" s="13"/>
    </row>
    <row r="96" spans="1:13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0.4753874020099082</v>
      </c>
      <c r="L96" s="13"/>
      <c r="M96" s="13"/>
    </row>
    <row r="97" spans="1:18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0.47342616388230269</v>
      </c>
      <c r="L97" s="13"/>
      <c r="M97" s="13"/>
    </row>
    <row r="98" spans="1:18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0.47150552136129625</v>
      </c>
      <c r="L98" s="13"/>
      <c r="M98" s="13"/>
    </row>
    <row r="99" spans="1:18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0.46959051239345301</v>
      </c>
      <c r="L99" s="13"/>
      <c r="M99" s="13"/>
      <c r="P99" s="3">
        <v>59364</v>
      </c>
      <c r="Q99" s="13">
        <f>L82</f>
        <v>0.50524538755413995</v>
      </c>
      <c r="R99" s="13"/>
    </row>
    <row r="100" spans="1:18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0.46767831124558734</v>
      </c>
      <c r="L100" s="13"/>
      <c r="M100" s="13"/>
      <c r="P100" s="3">
        <v>66670</v>
      </c>
      <c r="Q100" s="13">
        <f>L122</f>
        <v>0.496288209856939</v>
      </c>
      <c r="R100" s="13"/>
    </row>
    <row r="101" spans="1:18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0.46575538221990515</v>
      </c>
      <c r="L101" s="13"/>
      <c r="M101" s="13"/>
      <c r="P101" s="3"/>
      <c r="Q101" s="13"/>
      <c r="R101" s="13"/>
    </row>
    <row r="102" spans="1:18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1.6028554990550916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0.53923776019588365</v>
      </c>
      <c r="L102" s="13"/>
      <c r="M102" s="13">
        <f>Q102</f>
        <v>0.50076679870553953</v>
      </c>
      <c r="P102" s="3">
        <v>63017</v>
      </c>
      <c r="Q102" s="13" cm="1">
        <f t="array" ref="Q102">interpolate(P99:P100,Q99:Q100,P102,"Natural Cubic Spline")</f>
        <v>0.50076679870553953</v>
      </c>
      <c r="R102" s="13"/>
    </row>
    <row r="103" spans="1:18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0.53698031134086688</v>
      </c>
      <c r="L103" s="13"/>
      <c r="M103" s="13"/>
      <c r="P103" s="3">
        <v>66488</v>
      </c>
      <c r="Q103" s="13" cm="1">
        <f t="array" ref="Q103">interpolate(P99:P100,Q99:Q100,P103,"Natural Cubic Spline")</f>
        <v>0.49651134239743866</v>
      </c>
      <c r="R103" s="13"/>
    </row>
    <row r="104" spans="1:18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0.53475383248839381</v>
      </c>
      <c r="L104" s="13"/>
      <c r="M104" s="13"/>
    </row>
    <row r="105" spans="1:18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0.53248547497778465</v>
      </c>
      <c r="L105" s="13"/>
      <c r="M105" s="13"/>
    </row>
    <row r="106" spans="1:18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0.53025013003455101</v>
      </c>
      <c r="L106" s="13"/>
      <c r="M106" s="13"/>
    </row>
    <row r="107" spans="1:18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0.52794987994482012</v>
      </c>
      <c r="L107" s="13"/>
      <c r="M107" s="13"/>
    </row>
    <row r="108" spans="1:18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0.5257338958012342</v>
      </c>
      <c r="L108" s="13"/>
      <c r="M108" s="13"/>
    </row>
    <row r="109" spans="1:18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0.52344251405965037</v>
      </c>
      <c r="L109" s="13"/>
      <c r="M109" s="13"/>
    </row>
    <row r="110" spans="1:18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0.52118788462244536</v>
      </c>
      <c r="L110" s="13"/>
      <c r="M110" s="13"/>
    </row>
    <row r="111" spans="1:18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0.51892128136803528</v>
      </c>
      <c r="L111" s="13"/>
      <c r="M111" s="13"/>
    </row>
    <row r="112" spans="1:18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0.51668079805562173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0.51440534652719971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0.51216993992839999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0.5099012941031974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0.50767417302698881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0.50541553946604745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0.50318758038892708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0.50092991243158747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0.49871650203830076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0.49651134239743866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1.6046119725126813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(C122*Q103)/(G122/100*I122-J121+C122)</f>
        <v>0.496288209856939</v>
      </c>
      <c r="L122" s="14">
        <v>0.496288209856939</v>
      </c>
      <c r="M122" s="13">
        <f>K122</f>
        <v>0.496288209856939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ADDF-1C63-4F25-AAC6-42DB872DD8DB}">
  <sheetPr codeName="Sheet9"/>
  <dimension ref="A1:R122"/>
  <sheetViews>
    <sheetView zoomScaleNormal="100" workbookViewId="0">
      <pane ySplit="1" topLeftCell="A2" activePane="bottomLeft" state="frozen"/>
      <selection pane="bottomLeft" activeCell="S9" sqref="S9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1.0000000048181272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0.39002632619373873</v>
      </c>
      <c r="H3" s="13"/>
      <c r="I3" s="13"/>
      <c r="J3" s="13">
        <f>E3*F3*C3</f>
        <v>1.9914254825680981E-3</v>
      </c>
      <c r="K3" s="13">
        <f>K4*(1+G4/100*F4)</f>
        <v>0.99801050292722326</v>
      </c>
      <c r="L3" s="13"/>
      <c r="M3" s="13">
        <f t="shared" ref="M3:M5" si="0">K3</f>
        <v>0.99801050292722326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1.3983310952800729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0.99104297725098256</v>
      </c>
      <c r="L4" s="13"/>
      <c r="M4" s="13">
        <f t="shared" si="0"/>
        <v>0.99104297725098256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1.682486466463728</v>
      </c>
      <c r="H5" s="13"/>
      <c r="I5" s="13"/>
      <c r="J5" s="13">
        <f t="shared" si="1"/>
        <v>1.7449562484606416E-2</v>
      </c>
      <c r="K5" s="13">
        <f>(K6*(G6/100*I6-J5+C6)/C6)</f>
        <v>0.9825932888196548</v>
      </c>
      <c r="L5" s="13"/>
      <c r="M5" s="13">
        <f t="shared" si="0"/>
        <v>0.9825932888196548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1.3011457339423793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0.97442047687525069</v>
      </c>
      <c r="L6" s="13"/>
      <c r="M6" s="13">
        <f>K6</f>
        <v>0.97442047687525069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0.96602457126614483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1.4631894761699842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0.95713006087290986</v>
      </c>
      <c r="L8" s="13"/>
      <c r="M8" s="13">
        <f t="shared" ref="M8" si="2">K8</f>
        <v>0.95713006087290986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0.94779607814488032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1.6075437457756236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0.93773883269858083</v>
      </c>
      <c r="L10" s="13"/>
      <c r="M10" s="13">
        <f t="shared" ref="M10" si="3">K10</f>
        <v>0.93773883269858083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0.92732948613382016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1.7402332433105228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0.91655119547967379</v>
      </c>
      <c r="L12" s="13"/>
      <c r="M12" s="13">
        <f t="shared" ref="M12" si="4">K12</f>
        <v>0.91655119547967379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0.90580455128581505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1.8461343806827584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0.89475335582040838</v>
      </c>
      <c r="L14" s="13"/>
      <c r="M14" s="13">
        <f t="shared" ref="M14" si="5">K14</f>
        <v>0.89475335582040838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0.88391253003070824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1.9342271552021466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0.87251421816010977</v>
      </c>
      <c r="L16" s="13"/>
      <c r="M16" s="13">
        <f t="shared" ref="M16" si="6">K16</f>
        <v>0.87251421816010977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0.86120987047646902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2.0175958939321732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0.84937141108869463</v>
      </c>
      <c r="L18" s="13"/>
      <c r="M18" s="13">
        <f t="shared" ref="M18" si="7">K18</f>
        <v>0.84937141108869463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0.83793849104985074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2.0972612819803995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0.82529552934540507</v>
      </c>
      <c r="L20" s="13"/>
      <c r="M20" s="13">
        <f t="shared" ref="M20" si="8">K20</f>
        <v>0.82529552934540507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0.81368003786045418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2.1732152848853277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0.8005819737668477</v>
      </c>
      <c r="L22" s="13"/>
      <c r="M22" s="13">
        <f t="shared" ref="M22" si="9">K22</f>
        <v>0.8005819737668477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0.78910729808566804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2.2373392702169772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0.77600094329348768</v>
      </c>
      <c r="L24" s="13"/>
      <c r="M24" s="13">
        <f t="shared" ref="M24" si="10">K24</f>
        <v>0.77600094329348768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0.76463984342810276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2.2956800291062462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0.75118885611357489</v>
      </c>
      <c r="L26" s="13"/>
      <c r="M26" s="13">
        <f t="shared" ref="M26" si="11">K26</f>
        <v>0.75118885611357489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0.74030478654918308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2.341043316645901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0.72703463783580713</v>
      </c>
      <c r="L28" s="13"/>
      <c r="M28" s="13">
        <f t="shared" ref="M28" si="12">K28</f>
        <v>0.72703463783580713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0.71686309512370106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2.3723011267023031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0.70382128819767864</v>
      </c>
      <c r="L30" s="13"/>
      <c r="M30" s="13">
        <f t="shared" ref="M30" si="13">K30</f>
        <v>0.70382128819767864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0.69490382178782384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2.3862109816837869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0.68233025376324474</v>
      </c>
      <c r="L32" s="13"/>
      <c r="M32" s="13">
        <f t="shared" ref="M32" si="14">K32</f>
        <v>0.68233025376324474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0.67413223161370428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2.390927660946832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0.66183892384208032</v>
      </c>
      <c r="L34" s="13"/>
      <c r="M34" s="13">
        <f t="shared" ref="M34" si="15">K34</f>
        <v>0.66183892384208032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0.65447605260775421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2.3853514119331218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0.64259182637780676</v>
      </c>
      <c r="L36" s="13"/>
      <c r="M36" s="13">
        <f t="shared" ref="M36" si="17">K36</f>
        <v>0.64259182637780676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0.6361217621064531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2.3714438681025327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0.62448587051566651</v>
      </c>
      <c r="L38" s="13"/>
      <c r="M38" s="13">
        <f t="shared" ref="M38" si="18">K38</f>
        <v>0.62448587051566651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0.61860946162107777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2.3522951009078286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0.60721695942728249</v>
      </c>
      <c r="L40" s="13"/>
      <c r="M40" s="13">
        <f t="shared" ref="M40" si="19">K40</f>
        <v>0.60721695942728249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0.60203595296928181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2.3289024100077516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0.59063995861878404</v>
      </c>
      <c r="L42" s="14">
        <v>0.59063995577348705</v>
      </c>
      <c r="M42" s="13">
        <f>K42</f>
        <v>0.59063995861878404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0.5859800273133563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0.58145318126291989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0.57703501039460636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0.57277233879235534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0.56859509422830812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0.56461470702534422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0.56069824969028648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0.55697251975804263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0.55327405803873231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0.54983924026233422</v>
      </c>
      <c r="L52" s="13"/>
      <c r="M52" s="13">
        <f>K52</f>
        <v>0.54983924026233422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0.54641309985570297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0.54315419174052459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0.5399754646375331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0.53691483213313995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0.53387548430469434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0.53094398384077035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0.52801061378643632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0.52515902574864581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0.52228268752091844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2.0874991713302902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0.50614041275983357</v>
      </c>
      <c r="L62" s="13"/>
      <c r="M62" s="13">
        <f>K62</f>
        <v>0.50614041275983357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0.50333490636366185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0.50057757547014881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0.49782601580549485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0.49508361970637532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0.49233833641941688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0.48963815226008867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0.48691155187089513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0.48423567479668528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0.48155458942852064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1.9951108996589377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0.46309094490728042</v>
      </c>
      <c r="L72" s="13"/>
      <c r="M72" s="13">
        <f>K72</f>
        <v>0.46309094490728042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0.46052592020147753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0.45808803083567556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0.45560254872620437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0.4531938552891806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0.45082395516843998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0.44849513192202667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0.44618501412739342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0.44395837073247291</v>
      </c>
      <c r="L80" s="13"/>
      <c r="M80" s="13"/>
    </row>
    <row r="81" spans="1:13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0.44174374535575606</v>
      </c>
      <c r="L81" s="13"/>
      <c r="M81" s="13"/>
    </row>
    <row r="82" spans="1:13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1.9208801891207135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0.42125175728445219</v>
      </c>
      <c r="L82" s="14">
        <v>0.42125175728445202</v>
      </c>
      <c r="M82" s="13">
        <f>K82</f>
        <v>0.42125175728445219</v>
      </c>
    </row>
    <row r="83" spans="1:13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0.41922905673913452</v>
      </c>
      <c r="L83" s="13"/>
      <c r="M83" s="13"/>
    </row>
    <row r="84" spans="1:13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0.41728648710751698</v>
      </c>
      <c r="L84" s="13"/>
      <c r="M84" s="13"/>
    </row>
    <row r="85" spans="1:13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0.41533565523348032</v>
      </c>
      <c r="L85" s="13"/>
      <c r="M85" s="13"/>
    </row>
    <row r="86" spans="1:13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0.413468139253931</v>
      </c>
      <c r="L86" s="13"/>
      <c r="M86" s="13"/>
    </row>
    <row r="87" spans="1:13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0.41163855074761957</v>
      </c>
      <c r="L87" s="13"/>
      <c r="M87" s="13"/>
    </row>
    <row r="88" spans="1:13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0.40984366025277069</v>
      </c>
      <c r="L88" s="13"/>
      <c r="M88" s="13"/>
    </row>
    <row r="89" spans="1:13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0.40807105277656447</v>
      </c>
      <c r="L89" s="13"/>
      <c r="M89" s="13"/>
    </row>
    <row r="90" spans="1:13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0.40634655294619682</v>
      </c>
      <c r="L90" s="13"/>
      <c r="M90" s="13"/>
    </row>
    <row r="91" spans="1:13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0.40461989579616198</v>
      </c>
      <c r="L91" s="13"/>
      <c r="M91" s="13"/>
    </row>
    <row r="92" spans="1:13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0.40294458430351215</v>
      </c>
      <c r="L92" s="13"/>
      <c r="M92" s="13"/>
    </row>
    <row r="93" spans="1:13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0.40126226775496088</v>
      </c>
      <c r="L93" s="13"/>
      <c r="M93" s="13"/>
    </row>
    <row r="94" spans="1:13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0.39961609366645257</v>
      </c>
      <c r="L94" s="13"/>
      <c r="M94" s="13"/>
    </row>
    <row r="95" spans="1:13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0.39794929682913077</v>
      </c>
      <c r="L95" s="13"/>
      <c r="M95" s="13"/>
    </row>
    <row r="96" spans="1:13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0.39635745999978156</v>
      </c>
      <c r="L96" s="13"/>
      <c r="M96" s="13"/>
    </row>
    <row r="97" spans="1:18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0.3947222644531056</v>
      </c>
      <c r="L97" s="13"/>
      <c r="M97" s="13"/>
    </row>
    <row r="98" spans="1:18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0.39312091576785413</v>
      </c>
      <c r="L98" s="13"/>
      <c r="M98" s="13"/>
    </row>
    <row r="99" spans="1:18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0.39152426409563473</v>
      </c>
      <c r="L99" s="13"/>
      <c r="M99" s="13"/>
      <c r="P99" s="3">
        <v>59364</v>
      </c>
      <c r="Q99" s="13">
        <f>L82</f>
        <v>0.42125175728445202</v>
      </c>
      <c r="R99" s="13"/>
    </row>
    <row r="100" spans="1:18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0.38992995346230225</v>
      </c>
      <c r="L100" s="13"/>
      <c r="M100" s="13"/>
      <c r="P100" s="3">
        <v>66670</v>
      </c>
      <c r="Q100" s="13">
        <f>L122</f>
        <v>0.31960301580640299</v>
      </c>
      <c r="R100" s="13"/>
    </row>
    <row r="101" spans="1:18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0.38832669838832079</v>
      </c>
      <c r="L101" s="13"/>
      <c r="M101" s="13"/>
      <c r="P101" s="3"/>
      <c r="Q101" s="13"/>
      <c r="R101" s="13"/>
    </row>
    <row r="102" spans="1:18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1.7627363521776065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0.34985597300035409</v>
      </c>
      <c r="L102" s="13"/>
      <c r="M102" s="13">
        <f>Q102</f>
        <v>0.37042738654542751</v>
      </c>
      <c r="P102" s="3">
        <v>63017</v>
      </c>
      <c r="Q102" s="13" cm="1">
        <f t="array" ref="Q102">interpolate(P99:P100,Q99:Q100,P102,"Natural Cubic Spline")</f>
        <v>0.37042738654542751</v>
      </c>
      <c r="R102" s="13"/>
    </row>
    <row r="103" spans="1:18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0.34839134640338965</v>
      </c>
      <c r="L103" s="13"/>
      <c r="M103" s="13"/>
      <c r="P103" s="3">
        <v>66488</v>
      </c>
      <c r="Q103" s="13" cm="1">
        <f t="array" ref="Q103">interpolate(P99:P100,Q99:Q100,P103,"Natural Cubic Spline")</f>
        <v>0.32213519086101627</v>
      </c>
      <c r="R103" s="13"/>
    </row>
    <row r="104" spans="1:18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0.34694681305874087</v>
      </c>
      <c r="L104" s="13"/>
      <c r="M104" s="13"/>
      <c r="Q104" s="13"/>
      <c r="R104" s="13"/>
    </row>
    <row r="105" spans="1:18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0.3454751089560858</v>
      </c>
      <c r="L105" s="13"/>
      <c r="M105" s="13"/>
    </row>
    <row r="106" spans="1:18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0.34402482331618123</v>
      </c>
      <c r="L106" s="13"/>
      <c r="M106" s="13"/>
    </row>
    <row r="107" spans="1:18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0.34253242739606871</v>
      </c>
      <c r="L107" s="13"/>
      <c r="M107" s="13"/>
    </row>
    <row r="108" spans="1:18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0.34109470298962874</v>
      </c>
      <c r="L108" s="13"/>
      <c r="M108" s="13"/>
    </row>
    <row r="109" spans="1:18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0.33960806082935818</v>
      </c>
      <c r="L109" s="13"/>
      <c r="M109" s="13"/>
    </row>
    <row r="110" spans="1:18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0.33814526346290141</v>
      </c>
      <c r="L110" s="13"/>
      <c r="M110" s="13"/>
    </row>
    <row r="111" spans="1:18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0.3366746975168346</v>
      </c>
      <c r="L111" s="13"/>
      <c r="M111" s="13"/>
    </row>
    <row r="112" spans="1:18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0.33522107811716428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0.33374477143529901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0.33229444579343304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0.33082255463306415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0.32937760461542537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0.32791220938452137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0.32646671567420005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0.32500194692425222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0.32356589235991473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0.32213519086101622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1.6127031154478848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(C122*Q103)/(G122/100*I122-J121+C122)</f>
        <v>0.31960301580640293</v>
      </c>
      <c r="L122" s="14">
        <v>0.31960301580640299</v>
      </c>
      <c r="M122" s="13">
        <f>K122</f>
        <v>0.31960301580640293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585A-690A-4249-B865-6F2DD8D626EB}">
  <sheetPr codeName="Sheet10"/>
  <dimension ref="A1:Q122"/>
  <sheetViews>
    <sheetView zoomScaleNormal="100" workbookViewId="0">
      <pane ySplit="1" topLeftCell="A2" activePane="bottomLeft" state="frozen"/>
      <selection pane="bottomLeft" activeCell="O8" sqref="O8"/>
    </sheetView>
  </sheetViews>
  <sheetFormatPr defaultRowHeight="14.4"/>
  <cols>
    <col min="1" max="1" width="5.109375" bestFit="1" customWidth="1"/>
    <col min="2" max="2" width="10.5546875" bestFit="1" customWidth="1"/>
    <col min="3" max="5" width="12.109375" bestFit="1" customWidth="1"/>
    <col min="6" max="6" width="10.5546875" bestFit="1" customWidth="1"/>
    <col min="7" max="11" width="12.109375" bestFit="1" customWidth="1"/>
    <col min="12" max="12" width="10.5546875" bestFit="1" customWidth="1"/>
    <col min="13" max="13" width="10.6640625" bestFit="1" customWidth="1"/>
    <col min="15" max="15" width="10.5546875" bestFit="1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4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1.0000000000473923</v>
      </c>
    </row>
    <row r="3" spans="1:14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0.39005017291814142</v>
      </c>
      <c r="H3" s="13"/>
      <c r="I3" s="13"/>
      <c r="J3" s="13">
        <f>E3*F3*C3</f>
        <v>1.9914254825680981E-3</v>
      </c>
      <c r="K3" s="13">
        <f>K4*(1+G4/100*F4)</f>
        <v>0.99801037676722792</v>
      </c>
      <c r="L3" s="13"/>
      <c r="M3" s="13">
        <f t="shared" ref="M3:M5" si="0">K3</f>
        <v>0.99801037676722792</v>
      </c>
      <c r="N3" s="13"/>
    </row>
    <row r="4" spans="1:14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1.3986310056476732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0.99104136803049303</v>
      </c>
      <c r="L4" s="13"/>
      <c r="M4" s="13">
        <f t="shared" si="0"/>
        <v>0.99104136803049303</v>
      </c>
      <c r="N4" s="13"/>
    </row>
    <row r="5" spans="1:14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1.6829271133516619</v>
      </c>
      <c r="H5" s="13"/>
      <c r="I5" s="13"/>
      <c r="J5" s="13">
        <f t="shared" si="1"/>
        <v>1.7449562484606416E-2</v>
      </c>
      <c r="K5" s="13">
        <f>(K6*(G6/100*I6-J5+C6)/C6)</f>
        <v>0.98258949920413274</v>
      </c>
      <c r="L5" s="13"/>
      <c r="M5" s="13">
        <f t="shared" si="0"/>
        <v>0.98258949920413274</v>
      </c>
      <c r="N5" s="13"/>
    </row>
    <row r="6" spans="1:14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1.3021835316148125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0.97439651427773144</v>
      </c>
      <c r="L6" s="13"/>
      <c r="M6" s="13">
        <f>K6</f>
        <v>0.97439651427773144</v>
      </c>
      <c r="N6" s="13"/>
    </row>
    <row r="7" spans="1:14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0.9660008151377133</v>
      </c>
      <c r="L7" s="13"/>
      <c r="M7" s="13"/>
      <c r="N7" s="13"/>
    </row>
    <row r="8" spans="1:14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1.4651726354459089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0.95704914681837583</v>
      </c>
      <c r="L8" s="13"/>
      <c r="M8" s="13">
        <f t="shared" ref="M8" si="2">K8</f>
        <v>0.95704914681837583</v>
      </c>
      <c r="N8" s="13"/>
    </row>
    <row r="9" spans="1:14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0.94771595316846469</v>
      </c>
      <c r="L9" s="13"/>
      <c r="M9" s="13"/>
      <c r="N9" s="13"/>
    </row>
    <row r="10" spans="1:14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1.6107534413939057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0.93753740526968721</v>
      </c>
      <c r="L10" s="13"/>
      <c r="M10" s="13">
        <f t="shared" ref="M10" si="3">K10</f>
        <v>0.93753740526968721</v>
      </c>
      <c r="N10" s="13"/>
    </row>
    <row r="11" spans="1:14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0.9271302946450859</v>
      </c>
      <c r="L11" s="13"/>
      <c r="M11" s="13"/>
      <c r="N11" s="13"/>
    </row>
    <row r="12" spans="1:14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1.7449729365062405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0.91613185575868883</v>
      </c>
      <c r="L12" s="13"/>
      <c r="M12" s="13">
        <f t="shared" ref="M12" si="4">K12</f>
        <v>0.91613185575868883</v>
      </c>
      <c r="N12" s="13"/>
    </row>
    <row r="13" spans="1:14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0.90539012836031296</v>
      </c>
      <c r="L13" s="13"/>
      <c r="M13" s="13"/>
      <c r="N13" s="13"/>
    </row>
    <row r="14" spans="1:14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1.8525954999439889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0.89398492041997291</v>
      </c>
      <c r="L14" s="13"/>
      <c r="M14" s="13">
        <f t="shared" ref="M14" si="5">K14</f>
        <v>0.89398492041997291</v>
      </c>
      <c r="N14" s="13"/>
    </row>
    <row r="15" spans="1:14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0.88315340498854367</v>
      </c>
      <c r="L15" s="13"/>
      <c r="M15" s="13"/>
      <c r="N15" s="13"/>
    </row>
    <row r="16" spans="1:14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1.9425828961146183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0.87123078075594906</v>
      </c>
      <c r="L16" s="13"/>
      <c r="M16" s="13">
        <f t="shared" ref="M16" si="6">K16</f>
        <v>0.87123078075594906</v>
      </c>
      <c r="N16" s="13"/>
    </row>
    <row r="17" spans="1:14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0.85994306136597376</v>
      </c>
      <c r="L17" s="13"/>
      <c r="M17" s="13"/>
      <c r="N17" s="13"/>
    </row>
    <row r="18" spans="1:14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2.0280956379231911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0.84736670695615379</v>
      </c>
      <c r="L18" s="13"/>
      <c r="M18" s="13">
        <f t="shared" ref="M18" si="7">K18</f>
        <v>0.84736670695615379</v>
      </c>
      <c r="N18" s="13"/>
    </row>
    <row r="19" spans="1:14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0.83596077113381362</v>
      </c>
      <c r="L19" s="13"/>
      <c r="M19" s="13"/>
      <c r="N19" s="13"/>
    </row>
    <row r="20" spans="1:14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2.1101728908161208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0.82231976991381728</v>
      </c>
      <c r="L20" s="13"/>
      <c r="M20" s="13">
        <f t="shared" ref="M20" si="8">K20</f>
        <v>0.82231976991381728</v>
      </c>
      <c r="N20" s="13"/>
    </row>
    <row r="21" spans="1:14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0.81074616028464996</v>
      </c>
      <c r="L21" s="13"/>
      <c r="M21" s="13"/>
      <c r="N21" s="13"/>
    </row>
    <row r="22" spans="1:14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2.1887990457814377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0.79634197000701423</v>
      </c>
      <c r="L22" s="13"/>
      <c r="M22" s="13">
        <f t="shared" ref="M22" si="9">K22</f>
        <v>0.79634197000701423</v>
      </c>
      <c r="N22" s="13"/>
    </row>
    <row r="23" spans="1:14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0.78492806595150855</v>
      </c>
      <c r="L23" s="13"/>
      <c r="M23" s="13"/>
      <c r="N23" s="13"/>
    </row>
    <row r="24" spans="1:14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2.2557477693891776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0.77016416856528491</v>
      </c>
      <c r="L24" s="13"/>
      <c r="M24" s="13">
        <f t="shared" ref="M24" si="10">K24</f>
        <v>0.77016416856528491</v>
      </c>
      <c r="N24" s="13"/>
    </row>
    <row r="25" spans="1:14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0.75888852243697591</v>
      </c>
      <c r="L25" s="13"/>
      <c r="M25" s="13"/>
      <c r="N25" s="13"/>
    </row>
    <row r="26" spans="1:14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2.3171078158085203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0.74338863023969892</v>
      </c>
      <c r="L26" s="13"/>
      <c r="M26" s="13">
        <f t="shared" ref="M26" si="11">K26</f>
        <v>0.74338863023969892</v>
      </c>
      <c r="N26" s="13"/>
    </row>
    <row r="27" spans="1:14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0.73261757912644399</v>
      </c>
      <c r="L27" s="13"/>
      <c r="M27" s="13"/>
      <c r="N27" s="13"/>
    </row>
    <row r="28" spans="1:14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2.3655089421427755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0.71688013864596711</v>
      </c>
      <c r="L28" s="13"/>
      <c r="M28" s="13">
        <f t="shared" ref="M28" si="12">K28</f>
        <v>0.71688013864596711</v>
      </c>
      <c r="N28" s="13"/>
    </row>
    <row r="29" spans="1:14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0.7068506619605045</v>
      </c>
      <c r="L29" s="13"/>
      <c r="M29" s="13"/>
      <c r="N29" s="13"/>
    </row>
    <row r="30" spans="1:14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2.3997072646720037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0.69091625403385093</v>
      </c>
      <c r="L30" s="13"/>
      <c r="M30" s="13">
        <f t="shared" ref="M30" si="13">K30</f>
        <v>0.69091625403385093</v>
      </c>
      <c r="N30" s="13"/>
    </row>
    <row r="31" spans="1:14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0.68216229533625738</v>
      </c>
      <c r="L31" s="13"/>
      <c r="M31" s="13"/>
      <c r="N31" s="13"/>
    </row>
    <row r="32" spans="1:14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2.4162413762616364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0.66629334688958997</v>
      </c>
      <c r="L32" s="13"/>
      <c r="M32" s="13">
        <f t="shared" ref="M32" si="14">K32</f>
        <v>0.66629334688958997</v>
      </c>
      <c r="N32" s="13"/>
    </row>
    <row r="33" spans="1:14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0.65828800404312193</v>
      </c>
      <c r="L33" s="13"/>
      <c r="M33" s="13"/>
      <c r="N33" s="13"/>
    </row>
    <row r="34" spans="1:14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2.4234059920607076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0.64231592142885297</v>
      </c>
      <c r="L34" s="13"/>
      <c r="M34" s="13">
        <f t="shared" ref="M34" si="15">K34</f>
        <v>0.64231592142885297</v>
      </c>
      <c r="N34" s="13"/>
    </row>
    <row r="35" spans="1:14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0.63517024103613162</v>
      </c>
      <c r="L35" s="13"/>
      <c r="M35" s="13"/>
      <c r="N35" s="13"/>
    </row>
    <row r="36" spans="1:14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2.4200115001446685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0.61925191520295297</v>
      </c>
      <c r="L36" s="13"/>
      <c r="M36" s="13">
        <f t="shared" ref="M36" si="17">K36</f>
        <v>0.61925191520295297</v>
      </c>
      <c r="N36" s="13"/>
    </row>
    <row r="37" spans="1:14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0.61301685349339696</v>
      </c>
      <c r="L37" s="13"/>
      <c r="M37" s="13"/>
      <c r="N37" s="13"/>
    </row>
    <row r="38" spans="1:14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2.4079853365226991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0.59704172767460684</v>
      </c>
      <c r="L38" s="13"/>
      <c r="M38" s="13">
        <f t="shared" ref="M38" si="18">K38</f>
        <v>0.59704172767460684</v>
      </c>
      <c r="N38" s="13"/>
    </row>
    <row r="39" spans="1:14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0.59142356802585361</v>
      </c>
      <c r="L39" s="13"/>
      <c r="M39" s="13"/>
      <c r="N39" s="13"/>
    </row>
    <row r="40" spans="1:14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2.3904990456140087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0.57542534031226489</v>
      </c>
      <c r="L40" s="13"/>
      <c r="M40" s="13">
        <f t="shared" ref="M40" si="19">K40</f>
        <v>0.57542534031226489</v>
      </c>
      <c r="N40" s="13"/>
    </row>
    <row r="41" spans="1:14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0.57051559206171043</v>
      </c>
      <c r="L41" s="13"/>
      <c r="M41" s="13"/>
      <c r="N41" s="13"/>
    </row>
    <row r="42" spans="1:14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2.3685477910862729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0.55430445759015068</v>
      </c>
      <c r="L42" s="14">
        <v>0.55430445756389102</v>
      </c>
      <c r="M42" s="13">
        <f>K42</f>
        <v>0.55430445759015068</v>
      </c>
      <c r="N42" s="13"/>
    </row>
    <row r="43" spans="1:14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0.54993119997868989</v>
      </c>
      <c r="L43" s="13"/>
      <c r="M43" s="13"/>
      <c r="N43" s="13"/>
    </row>
    <row r="44" spans="1:14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0.54568284036812587</v>
      </c>
      <c r="L44" s="13"/>
      <c r="M44" s="13"/>
      <c r="N44" s="13"/>
    </row>
    <row r="45" spans="1:14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0.54153647036561503</v>
      </c>
      <c r="L45" s="13"/>
      <c r="M45" s="13"/>
      <c r="N45" s="13"/>
    </row>
    <row r="46" spans="1:14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0.53753603349050727</v>
      </c>
      <c r="L46" s="13"/>
      <c r="M46" s="13"/>
      <c r="N46" s="13"/>
    </row>
    <row r="47" spans="1:14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0.53361576827900625</v>
      </c>
      <c r="L47" s="13"/>
      <c r="M47" s="13"/>
      <c r="N47" s="13"/>
    </row>
    <row r="48" spans="1:14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0.52988024998678429</v>
      </c>
      <c r="L48" s="13"/>
      <c r="M48" s="13"/>
      <c r="N48" s="13"/>
    </row>
    <row r="49" spans="1:14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0.52620472866943069</v>
      </c>
      <c r="L49" s="13"/>
      <c r="M49" s="13"/>
      <c r="N49" s="13"/>
    </row>
    <row r="50" spans="1:14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0.52270820142117402</v>
      </c>
      <c r="L50" s="13"/>
      <c r="M50" s="13"/>
      <c r="N50" s="13"/>
    </row>
    <row r="51" spans="1:14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0.51923726487628741</v>
      </c>
      <c r="L51" s="13"/>
      <c r="M51" s="13"/>
      <c r="N51" s="13"/>
    </row>
    <row r="52" spans="1:14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0.51601375319766729</v>
      </c>
      <c r="L52" s="13"/>
      <c r="M52" s="13">
        <f>K52</f>
        <v>0.51601375319766729</v>
      </c>
      <c r="N52" s="13"/>
    </row>
    <row r="53" spans="1:14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0.51279838506685782</v>
      </c>
      <c r="L53" s="13"/>
      <c r="M53" s="13"/>
      <c r="N53" s="13"/>
    </row>
    <row r="54" spans="1:14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0.50973996128641386</v>
      </c>
      <c r="L54" s="13"/>
      <c r="M54" s="13"/>
      <c r="N54" s="13"/>
    </row>
    <row r="55" spans="1:14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0.50675678587313633</v>
      </c>
      <c r="L55" s="13"/>
      <c r="M55" s="13"/>
      <c r="N55" s="13"/>
    </row>
    <row r="56" spans="1:14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0.50388444001255872</v>
      </c>
      <c r="L56" s="13"/>
      <c r="M56" s="13"/>
      <c r="N56" s="13"/>
    </row>
    <row r="57" spans="1:14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0.50103206941878087</v>
      </c>
      <c r="L57" s="13"/>
      <c r="M57" s="13"/>
      <c r="N57" s="13"/>
    </row>
    <row r="58" spans="1:14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0.498280911541856</v>
      </c>
      <c r="L58" s="13"/>
      <c r="M58" s="13"/>
      <c r="N58" s="13"/>
    </row>
    <row r="59" spans="1:14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0.49552799908960471</v>
      </c>
      <c r="L59" s="13"/>
      <c r="M59" s="13"/>
      <c r="N59" s="13"/>
    </row>
    <row r="60" spans="1:14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0.49285183751690242</v>
      </c>
      <c r="L60" s="13"/>
      <c r="M60" s="13"/>
      <c r="N60" s="13"/>
    </row>
    <row r="61" spans="1:14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0.49015244835790495</v>
      </c>
      <c r="L61" s="13"/>
      <c r="M61" s="13"/>
      <c r="N61" s="13"/>
    </row>
    <row r="62" spans="1:14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2.238891700330353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0.4488332865471848</v>
      </c>
      <c r="L62" s="13"/>
      <c r="M62" s="13">
        <f>K62</f>
        <v>0.4488332865471848</v>
      </c>
      <c r="N62" s="13"/>
    </row>
    <row r="63" spans="1:14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0.44634543016488798</v>
      </c>
      <c r="L63" s="13"/>
      <c r="M63" s="13"/>
      <c r="N63" s="13"/>
    </row>
    <row r="64" spans="1:14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0.44390029467316666</v>
      </c>
      <c r="L64" s="13"/>
      <c r="M64" s="13"/>
      <c r="N64" s="13"/>
    </row>
    <row r="65" spans="1:14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0.44146027697000945</v>
      </c>
      <c r="L65" s="13"/>
      <c r="M65" s="13"/>
      <c r="N65" s="13"/>
    </row>
    <row r="66" spans="1:14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0.43902838529894062</v>
      </c>
      <c r="L66" s="13"/>
      <c r="M66" s="13"/>
      <c r="N66" s="13"/>
    </row>
    <row r="67" spans="1:14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0.43659393333832769</v>
      </c>
      <c r="L67" s="13"/>
      <c r="M67" s="13"/>
      <c r="N67" s="13"/>
    </row>
    <row r="68" spans="1:14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0.43419947421204369</v>
      </c>
      <c r="L68" s="13"/>
      <c r="M68" s="13"/>
      <c r="N68" s="13"/>
    </row>
    <row r="69" spans="1:14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0.43178158980105663</v>
      </c>
      <c r="L69" s="13"/>
      <c r="M69" s="13"/>
      <c r="N69" s="13"/>
    </row>
    <row r="70" spans="1:14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0.42940868562005069</v>
      </c>
      <c r="L70" s="13"/>
      <c r="M70" s="13"/>
      <c r="N70" s="13"/>
    </row>
    <row r="71" spans="1:14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0.42703116284777226</v>
      </c>
      <c r="L71" s="13"/>
      <c r="M71" s="13"/>
      <c r="N71" s="13"/>
    </row>
    <row r="72" spans="1:14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2.1580525743371277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0.38208933971854625</v>
      </c>
      <c r="L72" s="13"/>
      <c r="M72" s="13">
        <f>K72</f>
        <v>0.38208933971854625</v>
      </c>
      <c r="N72" s="13"/>
    </row>
    <row r="73" spans="1:14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0.37997297660028612</v>
      </c>
      <c r="L73" s="13"/>
      <c r="M73" s="13"/>
      <c r="N73" s="13"/>
    </row>
    <row r="74" spans="1:14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0.37796151092960101</v>
      </c>
      <c r="L74" s="13"/>
      <c r="M74" s="13"/>
      <c r="N74" s="13"/>
    </row>
    <row r="75" spans="1:14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0.37591077720540728</v>
      </c>
      <c r="L75" s="13"/>
      <c r="M75" s="13"/>
      <c r="N75" s="13"/>
    </row>
    <row r="76" spans="1:14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0.37392340065430441</v>
      </c>
      <c r="L76" s="13"/>
      <c r="M76" s="13"/>
      <c r="N76" s="13"/>
    </row>
    <row r="77" spans="1:14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0.37196803188216399</v>
      </c>
      <c r="L77" s="13"/>
      <c r="M77" s="13"/>
      <c r="N77" s="13"/>
    </row>
    <row r="78" spans="1:14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0.37004655501821576</v>
      </c>
      <c r="L78" s="13"/>
      <c r="M78" s="13"/>
      <c r="N78" s="13"/>
    </row>
    <row r="79" spans="1:14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0.36814051173982643</v>
      </c>
      <c r="L79" s="13"/>
      <c r="M79" s="13"/>
      <c r="N79" s="13"/>
    </row>
    <row r="80" spans="1:14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0.36630334192704983</v>
      </c>
      <c r="L80" s="13"/>
      <c r="M80" s="13"/>
      <c r="N80" s="13"/>
    </row>
    <row r="81" spans="1:14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0.3644760879994588</v>
      </c>
      <c r="L81" s="13"/>
      <c r="M81" s="13"/>
      <c r="N81" s="13"/>
    </row>
    <row r="82" spans="1:14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2.1232162216417718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0.31354891476401925</v>
      </c>
      <c r="L82" s="14">
        <v>0.31354891476401903</v>
      </c>
      <c r="M82" s="13">
        <f>K82</f>
        <v>0.31354891476401925</v>
      </c>
      <c r="N82" s="13"/>
    </row>
    <row r="83" spans="1:14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0.31204336481696304</v>
      </c>
      <c r="L83" s="13"/>
      <c r="M83" s="13"/>
      <c r="N83" s="13"/>
    </row>
    <row r="84" spans="1:14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0.31059745844550091</v>
      </c>
      <c r="L84" s="13"/>
      <c r="M84" s="13"/>
      <c r="N84" s="13"/>
    </row>
    <row r="85" spans="1:14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0.30914540226671039</v>
      </c>
      <c r="L85" s="13"/>
      <c r="M85" s="13"/>
      <c r="N85" s="13"/>
    </row>
    <row r="86" spans="1:14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0.30775536032963485</v>
      </c>
      <c r="L86" s="13"/>
      <c r="M86" s="13"/>
      <c r="N86" s="13"/>
    </row>
    <row r="87" spans="1:14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0.30639354882214881</v>
      </c>
      <c r="L87" s="13"/>
      <c r="M87" s="13"/>
      <c r="N87" s="13"/>
    </row>
    <row r="88" spans="1:14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0.30505756396974593</v>
      </c>
      <c r="L88" s="13"/>
      <c r="M88" s="13"/>
      <c r="N88" s="13"/>
    </row>
    <row r="89" spans="1:14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0.30373816496224992</v>
      </c>
      <c r="L89" s="13"/>
      <c r="M89" s="13"/>
      <c r="N89" s="13"/>
    </row>
    <row r="90" spans="1:14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0.30245457375824364</v>
      </c>
      <c r="L90" s="13"/>
      <c r="M90" s="13"/>
      <c r="N90" s="13"/>
    </row>
    <row r="91" spans="1:14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0.30116937680368855</v>
      </c>
      <c r="L91" s="13"/>
      <c r="M91" s="13"/>
      <c r="N91" s="13"/>
    </row>
    <row r="92" spans="1:14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0.29992239779095214</v>
      </c>
      <c r="L92" s="13"/>
      <c r="M92" s="13"/>
      <c r="N92" s="13"/>
    </row>
    <row r="93" spans="1:14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0.29867020472833278</v>
      </c>
      <c r="L93" s="13"/>
      <c r="M93" s="13"/>
      <c r="N93" s="13"/>
    </row>
    <row r="94" spans="1:14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0.29744491346238822</v>
      </c>
      <c r="L94" s="13"/>
      <c r="M94" s="13"/>
      <c r="N94" s="13"/>
    </row>
    <row r="95" spans="1:14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0.29620427213463835</v>
      </c>
      <c r="L95" s="13"/>
      <c r="M95" s="13"/>
      <c r="N95" s="13"/>
    </row>
    <row r="96" spans="1:14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0.29501942553947791</v>
      </c>
      <c r="L96" s="13"/>
      <c r="M96" s="13"/>
      <c r="N96" s="13"/>
    </row>
    <row r="97" spans="1:17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0.29380230589493955</v>
      </c>
      <c r="L97" s="13"/>
      <c r="M97" s="13"/>
      <c r="N97" s="13"/>
    </row>
    <row r="98" spans="1:17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0.29261037937181683</v>
      </c>
      <c r="L98" s="13"/>
      <c r="M98" s="13"/>
      <c r="N98" s="13"/>
    </row>
    <row r="99" spans="1:17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0.29142194896073015</v>
      </c>
      <c r="L99" s="13"/>
      <c r="M99" s="13"/>
      <c r="N99" s="13"/>
      <c r="O99" s="3">
        <v>59364</v>
      </c>
      <c r="P99" s="13">
        <f>L82</f>
        <v>0.31354891476401903</v>
      </c>
      <c r="Q99" s="13"/>
    </row>
    <row r="100" spans="1:17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0.29023526104730601</v>
      </c>
      <c r="L100" s="13"/>
      <c r="M100" s="13"/>
      <c r="N100" s="13"/>
      <c r="O100" s="3">
        <v>66670</v>
      </c>
      <c r="P100" s="13">
        <f>L122</f>
        <v>0.17628261151914501</v>
      </c>
      <c r="Q100" s="13"/>
    </row>
    <row r="101" spans="1:17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0.28904191554822162</v>
      </c>
      <c r="L101" s="13"/>
      <c r="M101" s="13"/>
      <c r="N101" s="13"/>
      <c r="O101" s="3"/>
      <c r="P101" s="13"/>
      <c r="Q101" s="13"/>
    </row>
    <row r="102" spans="1:17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1.9410231071845412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0.19516600394507075</v>
      </c>
      <c r="L102" s="13"/>
      <c r="M102" s="13">
        <f>P102</f>
        <v>0.24491576314158203</v>
      </c>
      <c r="N102" s="13"/>
      <c r="O102" s="3">
        <v>63017</v>
      </c>
      <c r="P102" s="13" cm="1">
        <f t="array" ref="P102">interpolate(O99:O100,P99:P100,O102,"Natural Cubic Spline")</f>
        <v>0.24491576314158203</v>
      </c>
      <c r="Q102" s="13"/>
    </row>
    <row r="103" spans="1:17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0.19434896681476305</v>
      </c>
      <c r="L103" s="13"/>
      <c r="M103" s="13"/>
      <c r="N103" s="13"/>
      <c r="O103" s="3">
        <v>66488</v>
      </c>
      <c r="P103" s="13" cm="1">
        <f t="array" ref="P103">interpolate(O99:O100,P99:P100,O103,"Natural Cubic Spline")</f>
        <v>0.17970205679570769</v>
      </c>
      <c r="Q103" s="13"/>
    </row>
    <row r="104" spans="1:17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0.19354313863917771</v>
      </c>
      <c r="L104" s="13"/>
      <c r="M104" s="13"/>
      <c r="N104" s="13"/>
    </row>
    <row r="105" spans="1:17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0.19272215334559673</v>
      </c>
      <c r="L105" s="13"/>
      <c r="M105" s="13"/>
      <c r="N105" s="13"/>
    </row>
    <row r="106" spans="1:17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0.19191311627102087</v>
      </c>
      <c r="L106" s="13"/>
      <c r="M106" s="13"/>
      <c r="N106" s="13"/>
    </row>
    <row r="107" spans="1:17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0.19108058811512171</v>
      </c>
      <c r="L107" s="13"/>
      <c r="M107" s="13"/>
      <c r="N107" s="13"/>
    </row>
    <row r="108" spans="1:17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0.19027855828332318</v>
      </c>
      <c r="L108" s="13"/>
      <c r="M108" s="13"/>
      <c r="N108" s="13"/>
    </row>
    <row r="109" spans="1:17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0.18944923984342912</v>
      </c>
      <c r="L109" s="13"/>
      <c r="M109" s="13"/>
      <c r="N109" s="13"/>
    </row>
    <row r="110" spans="1:17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0.18863322314334421</v>
      </c>
      <c r="L110" s="13"/>
      <c r="M110" s="13"/>
      <c r="N110" s="13"/>
    </row>
    <row r="111" spans="1:17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0.18781287276667286</v>
      </c>
      <c r="L111" s="13"/>
      <c r="M111" s="13"/>
      <c r="N111" s="13"/>
    </row>
    <row r="112" spans="1:17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0.18700197596517565</v>
      </c>
      <c r="L112" s="13"/>
      <c r="M112" s="13"/>
      <c r="N112" s="13"/>
    </row>
    <row r="113" spans="1:14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0.18617842313791905</v>
      </c>
      <c r="L113" s="13"/>
      <c r="M113" s="13"/>
      <c r="N113" s="13"/>
    </row>
    <row r="114" spans="1:14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0.18536936374838056</v>
      </c>
      <c r="L114" s="13"/>
      <c r="M114" s="13"/>
      <c r="N114" s="13"/>
    </row>
    <row r="115" spans="1:14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0.18454827410526911</v>
      </c>
      <c r="L115" s="13"/>
      <c r="M115" s="13"/>
      <c r="N115" s="13"/>
    </row>
    <row r="116" spans="1:14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0.18374221349002662</v>
      </c>
      <c r="L116" s="13"/>
      <c r="M116" s="13"/>
      <c r="N116" s="13"/>
    </row>
    <row r="117" spans="1:14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0.18292474757980359</v>
      </c>
      <c r="L117" s="13"/>
      <c r="M117" s="13"/>
      <c r="N117" s="13"/>
    </row>
    <row r="118" spans="1:14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0.18211838366738625</v>
      </c>
      <c r="L118" s="13"/>
      <c r="M118" s="13"/>
      <c r="N118" s="13"/>
    </row>
    <row r="119" spans="1:14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0.18130126723750428</v>
      </c>
      <c r="L119" s="13"/>
      <c r="M119" s="13"/>
      <c r="N119" s="13"/>
    </row>
    <row r="120" spans="1:14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0.1805001689216309</v>
      </c>
      <c r="L120" s="13"/>
      <c r="M120" s="13"/>
      <c r="N120" s="13"/>
    </row>
    <row r="121" spans="1:14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0.17970205679570769</v>
      </c>
      <c r="L121" s="13"/>
      <c r="M121" s="13"/>
      <c r="N121" s="13"/>
    </row>
    <row r="122" spans="1:14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1.6251264502643377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(C122*P103)/(G122/100*I122-J121+C122)</f>
        <v>0.17628261151914504</v>
      </c>
      <c r="L122" s="14">
        <v>0.17628261151914501</v>
      </c>
      <c r="M122" s="13">
        <f>K122</f>
        <v>0.17628261151914504</v>
      </c>
      <c r="N12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2425-9FB8-4816-BCB7-55222D96430B}">
  <sheetPr codeName="Sheet11"/>
  <dimension ref="A1:N31"/>
  <sheetViews>
    <sheetView workbookViewId="0">
      <selection activeCell="G16" sqref="G16"/>
    </sheetView>
  </sheetViews>
  <sheetFormatPr defaultRowHeight="14.4"/>
  <cols>
    <col min="1" max="1" width="10.77734375" bestFit="1" customWidth="1"/>
    <col min="2" max="2" width="9.5546875" bestFit="1" customWidth="1"/>
    <col min="4" max="4" width="9.5546875" bestFit="1" customWidth="1"/>
  </cols>
  <sheetData>
    <row r="1" spans="1:14">
      <c r="A1" s="4" t="s">
        <v>0</v>
      </c>
      <c r="B1" s="5" t="s">
        <v>20</v>
      </c>
      <c r="C1" s="4" t="s">
        <v>8</v>
      </c>
      <c r="D1" s="6" t="s">
        <v>9</v>
      </c>
      <c r="E1" s="4" t="s">
        <v>10</v>
      </c>
      <c r="F1" s="4" t="s">
        <v>11</v>
      </c>
      <c r="G1" s="4" t="s">
        <v>12</v>
      </c>
      <c r="H1" s="5" t="s">
        <v>24</v>
      </c>
      <c r="I1" s="4" t="s">
        <v>13</v>
      </c>
      <c r="J1" s="2" t="s">
        <v>14</v>
      </c>
      <c r="K1" s="4" t="s">
        <v>15</v>
      </c>
      <c r="L1" s="4" t="s">
        <v>16</v>
      </c>
      <c r="M1" s="4" t="s">
        <v>17</v>
      </c>
      <c r="N1" s="4" t="s">
        <v>23</v>
      </c>
    </row>
    <row r="2" spans="1:14">
      <c r="A2" s="3">
        <v>44750</v>
      </c>
      <c r="B2" s="12"/>
      <c r="C2" s="11"/>
      <c r="H2" s="10"/>
      <c r="I2">
        <v>1</v>
      </c>
      <c r="J2">
        <v>1</v>
      </c>
      <c r="K2">
        <v>1</v>
      </c>
      <c r="L2">
        <v>1</v>
      </c>
      <c r="M2">
        <v>1</v>
      </c>
      <c r="N2">
        <v>1</v>
      </c>
    </row>
    <row r="3" spans="1:14">
      <c r="A3" s="3">
        <v>44754</v>
      </c>
      <c r="B3" s="12">
        <v>1.0000444460492699</v>
      </c>
      <c r="C3">
        <v>1</v>
      </c>
      <c r="D3">
        <v>1</v>
      </c>
      <c r="E3">
        <v>1</v>
      </c>
      <c r="F3">
        <v>1</v>
      </c>
      <c r="G3">
        <v>1</v>
      </c>
      <c r="H3" s="10">
        <v>1</v>
      </c>
      <c r="I3">
        <f>1*$B$4</f>
        <v>1.0000444460492699</v>
      </c>
      <c r="J3">
        <f t="shared" ref="J3:N3" si="0">1*$B$4</f>
        <v>1.0000444460492699</v>
      </c>
      <c r="K3">
        <f t="shared" si="0"/>
        <v>1.0000444460492699</v>
      </c>
      <c r="L3">
        <f t="shared" si="0"/>
        <v>1.0000444460492699</v>
      </c>
      <c r="M3">
        <f t="shared" si="0"/>
        <v>1.0000444460492699</v>
      </c>
      <c r="N3">
        <f t="shared" si="0"/>
        <v>1.0000444460492699</v>
      </c>
    </row>
    <row r="4" spans="1:14">
      <c r="A4" s="3">
        <v>44938</v>
      </c>
      <c r="B4" s="15">
        <v>1.0000444460492699</v>
      </c>
      <c r="C4" s="13">
        <v>0.99801096131018441</v>
      </c>
      <c r="D4" s="13">
        <v>0.99801078469444948</v>
      </c>
      <c r="E4" s="13">
        <v>0.99801059629227273</v>
      </c>
      <c r="F4" s="13">
        <v>0.99801050292722326</v>
      </c>
      <c r="G4" s="13">
        <v>0.99801037676722792</v>
      </c>
      <c r="H4" s="16">
        <v>0.99801063213993446</v>
      </c>
      <c r="I4" s="13">
        <f t="shared" ref="I4:N4" si="1">$B4*C4</f>
        <v>0.99805531895454269</v>
      </c>
      <c r="J4" s="13">
        <f t="shared" si="1"/>
        <v>0.99805514233095793</v>
      </c>
      <c r="K4" s="13">
        <f t="shared" si="1"/>
        <v>0.99805495392040744</v>
      </c>
      <c r="L4" s="13">
        <f t="shared" si="1"/>
        <v>0.99805486055120829</v>
      </c>
      <c r="M4" s="13">
        <f t="shared" si="1"/>
        <v>0.99805473438560555</v>
      </c>
      <c r="N4" s="13">
        <f t="shared" si="1"/>
        <v>0.99805498976966245</v>
      </c>
    </row>
    <row r="5" spans="1:14">
      <c r="A5" s="3">
        <v>45119</v>
      </c>
      <c r="B5" s="14">
        <v>1.0000444460492699</v>
      </c>
      <c r="C5" s="17">
        <v>0.99104909443651013</v>
      </c>
      <c r="D5" s="13">
        <v>0.9910467608694804</v>
      </c>
      <c r="E5" s="13">
        <v>0.99104426884970065</v>
      </c>
      <c r="F5" s="13">
        <v>0.99104297725098256</v>
      </c>
      <c r="G5" s="13">
        <v>0.99104136803049303</v>
      </c>
      <c r="H5" s="16">
        <v>0.99104474380986662</v>
      </c>
      <c r="I5" s="13">
        <f t="shared" ref="I5:M7" si="2">$B5*C5</f>
        <v>0.99109314265339032</v>
      </c>
      <c r="J5" s="13">
        <f t="shared" si="2"/>
        <v>0.99109080898264279</v>
      </c>
      <c r="K5" s="13">
        <f t="shared" si="2"/>
        <v>0.99108831685210264</v>
      </c>
      <c r="L5" s="13">
        <f t="shared" si="2"/>
        <v>0.99108702519597802</v>
      </c>
      <c r="M5" s="13">
        <f t="shared" si="2"/>
        <v>0.99108541590396504</v>
      </c>
      <c r="N5" s="13">
        <f t="shared" ref="N5:N31" si="3">$B5*H5</f>
        <v>0.99108879183337872</v>
      </c>
    </row>
    <row r="6" spans="1:14">
      <c r="A6" s="3">
        <v>45303</v>
      </c>
      <c r="B6" s="14">
        <v>1.0000444460492699</v>
      </c>
      <c r="C6" s="17">
        <v>0.98260772564902987</v>
      </c>
      <c r="D6" s="13">
        <v>0.9826022208805909</v>
      </c>
      <c r="E6" s="13">
        <v>0.98259634205532609</v>
      </c>
      <c r="F6" s="13">
        <v>0.9825932888196548</v>
      </c>
      <c r="G6" s="13">
        <v>0.98258949920413274</v>
      </c>
      <c r="H6" s="16">
        <v>0.98259746260138792</v>
      </c>
      <c r="I6" s="13">
        <f t="shared" si="2"/>
        <v>0.98265139868041707</v>
      </c>
      <c r="J6" s="13">
        <f t="shared" si="2"/>
        <v>0.98264589366731292</v>
      </c>
      <c r="K6" s="13">
        <f t="shared" si="2"/>
        <v>0.98264001458075745</v>
      </c>
      <c r="L6" s="13">
        <f t="shared" si="2"/>
        <v>0.98263696120938193</v>
      </c>
      <c r="M6" s="13">
        <f t="shared" si="2"/>
        <v>0.9826331714254265</v>
      </c>
      <c r="N6" s="13">
        <f t="shared" si="3"/>
        <v>0.98264113517662321</v>
      </c>
    </row>
    <row r="7" spans="1:14">
      <c r="A7" s="3">
        <v>45485</v>
      </c>
      <c r="B7" s="14">
        <v>1.0000444460492699</v>
      </c>
      <c r="C7" s="17">
        <v>0.97451189654430437</v>
      </c>
      <c r="D7" s="13">
        <v>0.97447704599308371</v>
      </c>
      <c r="E7" s="13">
        <v>0.97443982902614046</v>
      </c>
      <c r="F7" s="13">
        <v>0.97442047687525069</v>
      </c>
      <c r="G7" s="13">
        <v>0.97439651427773144</v>
      </c>
      <c r="H7" s="16">
        <v>0.97444692296927427</v>
      </c>
      <c r="I7" s="13">
        <f t="shared" si="2"/>
        <v>0.9745552097480723</v>
      </c>
      <c r="J7" s="13">
        <f t="shared" si="2"/>
        <v>0.97452035764788225</v>
      </c>
      <c r="K7" s="13">
        <f t="shared" si="2"/>
        <v>0.97448313902679196</v>
      </c>
      <c r="L7" s="13">
        <f t="shared" si="2"/>
        <v>0.97446378601577543</v>
      </c>
      <c r="M7" s="13">
        <f t="shared" si="2"/>
        <v>0.97443982235321347</v>
      </c>
      <c r="N7" s="13">
        <f t="shared" si="3"/>
        <v>0.97449023328522344</v>
      </c>
    </row>
    <row r="8" spans="1:14">
      <c r="A8" s="3">
        <v>45852</v>
      </c>
      <c r="B8" s="14">
        <v>1.0000444460492699</v>
      </c>
      <c r="C8" s="17">
        <v>0.95743889347642908</v>
      </c>
      <c r="D8" s="13">
        <v>0.95732115040700905</v>
      </c>
      <c r="E8" s="13">
        <v>0.95719543319453837</v>
      </c>
      <c r="F8" s="13">
        <v>0.95713006087290986</v>
      </c>
      <c r="G8" s="13">
        <v>0.95704914681837583</v>
      </c>
      <c r="H8" s="16">
        <v>0.95729638500968794</v>
      </c>
      <c r="I8" s="13">
        <f t="shared" ref="I8:I31" si="4">$B8*C8</f>
        <v>0.95748144785266143</v>
      </c>
      <c r="J8" s="13">
        <f t="shared" ref="J8:J31" si="5">$B8*D8</f>
        <v>0.9573636995500272</v>
      </c>
      <c r="K8" s="13">
        <f t="shared" ref="K8:K31" si="6">$B8*E8</f>
        <v>0.95723797674992306</v>
      </c>
      <c r="L8" s="13">
        <f t="shared" ref="L8:L31" si="7">$B8*F8</f>
        <v>0.95717260152275307</v>
      </c>
      <c r="M8" s="13">
        <f t="shared" ref="M8:M31" si="8">$B8*G8</f>
        <v>0.95709168387190902</v>
      </c>
      <c r="N8" s="13">
        <f t="shared" si="3"/>
        <v>0.95733893305198203</v>
      </c>
    </row>
    <row r="9" spans="1:14">
      <c r="A9" s="3">
        <v>46216</v>
      </c>
      <c r="B9" s="14">
        <v>1.0000444460492699</v>
      </c>
      <c r="C9" s="17">
        <v>0.93850806916681351</v>
      </c>
      <c r="D9" s="13">
        <v>0.93821472346961532</v>
      </c>
      <c r="E9" s="13">
        <v>0.9379016122041085</v>
      </c>
      <c r="F9" s="13">
        <v>0.93773883269858083</v>
      </c>
      <c r="G9" s="13">
        <v>0.93753740526968721</v>
      </c>
      <c r="H9" s="16">
        <v>0.93807952562658103</v>
      </c>
      <c r="I9" s="13">
        <f t="shared" si="4"/>
        <v>0.93854978214269591</v>
      </c>
      <c r="J9" s="13">
        <f t="shared" si="5"/>
        <v>0.93825642340744042</v>
      </c>
      <c r="K9" s="13">
        <f t="shared" si="6"/>
        <v>0.93794329822537481</v>
      </c>
      <c r="L9" s="13">
        <f t="shared" si="7"/>
        <v>0.93778051148494124</v>
      </c>
      <c r="M9" s="13">
        <f t="shared" si="8"/>
        <v>0.93757907510339422</v>
      </c>
      <c r="N9" s="13">
        <f t="shared" si="3"/>
        <v>0.93812121955539607</v>
      </c>
    </row>
    <row r="10" spans="1:14">
      <c r="A10" s="3">
        <v>46580</v>
      </c>
      <c r="B10" s="14">
        <v>1.0000444460492699</v>
      </c>
      <c r="C10" s="17">
        <v>0.91815406126429233</v>
      </c>
      <c r="D10" s="13">
        <v>0.91754254535421498</v>
      </c>
      <c r="E10" s="13">
        <v>0.916890189919504</v>
      </c>
      <c r="F10" s="13">
        <v>0.91655119547967379</v>
      </c>
      <c r="G10" s="13">
        <v>0.91613185575868883</v>
      </c>
      <c r="H10" s="16">
        <v>0.91712844122432902</v>
      </c>
      <c r="I10" s="13">
        <f t="shared" si="4"/>
        <v>0.91819486958493668</v>
      </c>
      <c r="J10" s="13">
        <f t="shared" si="5"/>
        <v>0.91758332649539298</v>
      </c>
      <c r="K10" s="13">
        <f t="shared" si="6"/>
        <v>0.91693094206606029</v>
      </c>
      <c r="L10" s="13">
        <f t="shared" si="7"/>
        <v>0.91659193255926641</v>
      </c>
      <c r="M10" s="13">
        <f t="shared" si="8"/>
        <v>0.91617257420028764</v>
      </c>
      <c r="N10" s="13">
        <f t="shared" si="3"/>
        <v>0.91716920396021451</v>
      </c>
    </row>
    <row r="11" spans="1:14">
      <c r="A11" s="3">
        <v>46946</v>
      </c>
      <c r="B11" s="14">
        <v>1.0000444460492699</v>
      </c>
      <c r="C11" s="17">
        <v>0.89769463613970946</v>
      </c>
      <c r="D11" s="13">
        <v>0.89657172726522361</v>
      </c>
      <c r="E11" s="13">
        <v>0.89537486493699958</v>
      </c>
      <c r="F11" s="13">
        <v>0.89475335582040838</v>
      </c>
      <c r="G11" s="13">
        <v>0.89398492041997291</v>
      </c>
      <c r="H11" s="16">
        <v>0.89571111788568369</v>
      </c>
      <c r="I11" s="13">
        <f t="shared" si="4"/>
        <v>0.89773453511973667</v>
      </c>
      <c r="J11" s="13">
        <f t="shared" si="5"/>
        <v>0.89661157633638766</v>
      </c>
      <c r="K11" s="13">
        <f t="shared" si="6"/>
        <v>0.89541466081236165</v>
      </c>
      <c r="L11" s="13">
        <f t="shared" si="7"/>
        <v>0.89479312407214562</v>
      </c>
      <c r="M11" s="13">
        <f t="shared" si="8"/>
        <v>0.89402465451779245</v>
      </c>
      <c r="N11" s="13">
        <f t="shared" si="3"/>
        <v>0.8957509287061608</v>
      </c>
    </row>
    <row r="12" spans="1:14">
      <c r="A12" s="3">
        <v>47311</v>
      </c>
      <c r="B12" s="14">
        <v>1.0000444460492699</v>
      </c>
      <c r="C12" s="17">
        <v>0.87743656555737903</v>
      </c>
      <c r="D12" s="13">
        <v>0.87555545772909538</v>
      </c>
      <c r="E12" s="13">
        <v>0.8735529957818583</v>
      </c>
      <c r="F12" s="13">
        <v>0.87251421816010977</v>
      </c>
      <c r="G12" s="13">
        <v>0.87123078075594906</v>
      </c>
      <c r="H12" s="16">
        <v>0.8740370041426615</v>
      </c>
      <c r="I12" s="13">
        <f t="shared" si="4"/>
        <v>0.87747556414620298</v>
      </c>
      <c r="J12" s="13">
        <f t="shared" si="5"/>
        <v>0.87559437271010809</v>
      </c>
      <c r="K12" s="13">
        <f t="shared" si="6"/>
        <v>0.87359182176134864</v>
      </c>
      <c r="L12" s="13">
        <f t="shared" si="7"/>
        <v>0.87255299797003882</v>
      </c>
      <c r="M12" s="13">
        <f t="shared" si="8"/>
        <v>0.87126950352215604</v>
      </c>
      <c r="N12" s="13">
        <f t="shared" si="3"/>
        <v>0.87407585163441137</v>
      </c>
    </row>
    <row r="13" spans="1:14">
      <c r="A13" s="3">
        <v>47676</v>
      </c>
      <c r="B13" s="14">
        <v>1.0000444460492699</v>
      </c>
      <c r="C13" s="17">
        <v>0.85708169460001027</v>
      </c>
      <c r="D13" s="13">
        <v>0.85413101913998557</v>
      </c>
      <c r="E13" s="13">
        <v>0.85099557919137525</v>
      </c>
      <c r="F13" s="13">
        <v>0.84937141108869463</v>
      </c>
      <c r="G13" s="13">
        <v>0.84736670695615379</v>
      </c>
      <c r="H13" s="16">
        <v>0.85168947472002765</v>
      </c>
      <c r="I13" s="13">
        <f t="shared" si="4"/>
        <v>0.85711978849523673</v>
      </c>
      <c r="J13" s="13">
        <f t="shared" si="5"/>
        <v>0.8541689818893452</v>
      </c>
      <c r="K13" s="13">
        <f t="shared" si="6"/>
        <v>0.85103340258281646</v>
      </c>
      <c r="L13" s="13">
        <f t="shared" si="7"/>
        <v>0.84940916229228036</v>
      </c>
      <c r="M13" s="13">
        <f t="shared" si="8"/>
        <v>0.84740436905856087</v>
      </c>
      <c r="N13" s="13">
        <f t="shared" si="3"/>
        <v>0.85172732895238368</v>
      </c>
    </row>
    <row r="14" spans="1:14">
      <c r="A14" s="3">
        <v>48043</v>
      </c>
      <c r="B14" s="15">
        <v>1.0000444460492699</v>
      </c>
      <c r="C14" s="13">
        <v>0.83678480413824441</v>
      </c>
      <c r="D14" s="13">
        <v>0.83237948347818025</v>
      </c>
      <c r="E14" s="13">
        <v>0.82770972122362241</v>
      </c>
      <c r="F14" s="13">
        <v>0.82529552934540507</v>
      </c>
      <c r="G14" s="13">
        <v>0.82231976991381728</v>
      </c>
      <c r="H14" s="16">
        <v>0.82878111312407454</v>
      </c>
      <c r="I14" s="13">
        <f t="shared" si="4"/>
        <v>0.83682199591687745</v>
      </c>
      <c r="J14" s="13">
        <f t="shared" si="5"/>
        <v>0.83241647945771413</v>
      </c>
      <c r="K14" s="13">
        <f t="shared" si="6"/>
        <v>0.82774650965067309</v>
      </c>
      <c r="L14" s="13">
        <f t="shared" si="7"/>
        <v>0.82533221047116456</v>
      </c>
      <c r="M14" s="13">
        <f t="shared" si="8"/>
        <v>0.82235631877882642</v>
      </c>
      <c r="N14" s="13">
        <f t="shared" si="3"/>
        <v>0.82881794917026241</v>
      </c>
    </row>
    <row r="15" spans="1:14">
      <c r="A15" s="3">
        <v>48407</v>
      </c>
      <c r="B15" s="15">
        <v>1.0000444460492699</v>
      </c>
      <c r="C15" s="13">
        <v>0.81703691288854108</v>
      </c>
      <c r="D15" s="13">
        <v>0.81071146385463744</v>
      </c>
      <c r="E15" s="13">
        <v>0.80402811147188791</v>
      </c>
      <c r="F15" s="13">
        <v>0.8005819737668477</v>
      </c>
      <c r="G15" s="13">
        <v>0.79634197000701423</v>
      </c>
      <c r="H15" s="16">
        <v>0.80547248666946025</v>
      </c>
      <c r="I15" s="13">
        <f t="shared" si="4"/>
        <v>0.8170732269514267</v>
      </c>
      <c r="J15" s="13">
        <f t="shared" si="5"/>
        <v>0.81074749677630364</v>
      </c>
      <c r="K15" s="13">
        <f t="shared" si="6"/>
        <v>0.80406384734494474</v>
      </c>
      <c r="L15" s="13">
        <f t="shared" si="7"/>
        <v>0.80061755647269828</v>
      </c>
      <c r="M15" s="13">
        <f t="shared" si="8"/>
        <v>0.79637736426144889</v>
      </c>
      <c r="N15" s="13">
        <f t="shared" si="3"/>
        <v>0.80550828673928832</v>
      </c>
    </row>
    <row r="16" spans="1:14">
      <c r="A16" s="3">
        <v>48772</v>
      </c>
      <c r="B16" s="15">
        <v>1.0000444460492699</v>
      </c>
      <c r="C16" s="13">
        <v>0.79880463011415104</v>
      </c>
      <c r="D16" s="13">
        <v>0.79000961012057058</v>
      </c>
      <c r="E16" s="13">
        <v>0.78075614367252877</v>
      </c>
      <c r="F16" s="13">
        <v>0.77600094329348768</v>
      </c>
      <c r="G16" s="13">
        <v>0.77016416856528491</v>
      </c>
      <c r="H16" s="16">
        <v>0.78267545028228147</v>
      </c>
      <c r="I16" s="13">
        <f t="shared" si="4"/>
        <v>0.79884013382409813</v>
      </c>
      <c r="J16" s="13">
        <f t="shared" si="5"/>
        <v>0.79004472292662564</v>
      </c>
      <c r="K16" s="13">
        <f t="shared" si="6"/>
        <v>0.78079084519855824</v>
      </c>
      <c r="L16" s="13">
        <f t="shared" si="7"/>
        <v>0.77603543346964676</v>
      </c>
      <c r="M16" s="13">
        <f t="shared" si="8"/>
        <v>0.77019839931986689</v>
      </c>
      <c r="N16" s="13">
        <f t="shared" si="3"/>
        <v>0.78271023711390708</v>
      </c>
    </row>
    <row r="17" spans="1:14">
      <c r="A17" s="3">
        <v>49137</v>
      </c>
      <c r="B17" s="15">
        <v>1.0000444460492699</v>
      </c>
      <c r="C17" s="13">
        <v>0.78192401203111261</v>
      </c>
      <c r="D17" s="13">
        <v>0.77002010163642887</v>
      </c>
      <c r="E17" s="13">
        <v>0.75756288610561606</v>
      </c>
      <c r="F17" s="13">
        <v>0.75118885611357489</v>
      </c>
      <c r="G17" s="13">
        <v>0.74338863023969892</v>
      </c>
      <c r="H17" s="16">
        <v>0.76007457235941267</v>
      </c>
      <c r="I17" s="13">
        <f t="shared" si="4"/>
        <v>0.78195876546427667</v>
      </c>
      <c r="J17" s="13">
        <f t="shared" si="5"/>
        <v>0.77005432598780499</v>
      </c>
      <c r="K17" s="13">
        <f t="shared" si="6"/>
        <v>0.75759655678297699</v>
      </c>
      <c r="L17" s="13">
        <f t="shared" si="7"/>
        <v>0.75122224349048472</v>
      </c>
      <c r="M17" s="13">
        <f t="shared" si="8"/>
        <v>0.7434216709273852</v>
      </c>
      <c r="N17" s="13">
        <f t="shared" si="3"/>
        <v>0.76010835467130455</v>
      </c>
    </row>
    <row r="18" spans="1:14">
      <c r="A18" s="3">
        <v>49502</v>
      </c>
      <c r="B18" s="15">
        <v>1.0000444460492699</v>
      </c>
      <c r="C18" s="13">
        <v>0.7674713305945019</v>
      </c>
      <c r="D18" s="13">
        <v>0.75172856179907976</v>
      </c>
      <c r="E18" s="13">
        <v>0.7353636297605548</v>
      </c>
      <c r="F18" s="13">
        <v>0.72703463783580713</v>
      </c>
      <c r="G18" s="13">
        <v>0.71688013864596711</v>
      </c>
      <c r="H18" s="16">
        <v>0.73859675986976769</v>
      </c>
      <c r="I18" s="13">
        <f t="shared" si="4"/>
        <v>0.76750544166307477</v>
      </c>
      <c r="J18" s="13">
        <f t="shared" si="5"/>
        <v>0.75176197316377502</v>
      </c>
      <c r="K18" s="13">
        <f t="shared" si="6"/>
        <v>0.73539631376867443</v>
      </c>
      <c r="L18" s="13">
        <f t="shared" si="7"/>
        <v>0.72706695165314128</v>
      </c>
      <c r="M18" s="13">
        <f t="shared" si="8"/>
        <v>0.71691200113593001</v>
      </c>
      <c r="N18" s="13">
        <f t="shared" si="3"/>
        <v>0.73862958757774744</v>
      </c>
    </row>
    <row r="19" spans="1:14">
      <c r="A19" s="3">
        <v>49870</v>
      </c>
      <c r="B19" s="15">
        <v>1.0000444460492699</v>
      </c>
      <c r="C19" s="13">
        <v>0.75587287824980576</v>
      </c>
      <c r="D19" s="13">
        <v>0.73548138049543921</v>
      </c>
      <c r="E19" s="13">
        <v>0.71445443844364009</v>
      </c>
      <c r="F19" s="13">
        <v>0.70382128819767864</v>
      </c>
      <c r="G19" s="13">
        <v>0.69091625403385093</v>
      </c>
      <c r="H19" s="16">
        <v>0.71863740591193315</v>
      </c>
      <c r="I19" s="13">
        <f t="shared" si="4"/>
        <v>0.75590647381299425</v>
      </c>
      <c r="J19" s="13">
        <f t="shared" si="5"/>
        <v>0.73551406973711375</v>
      </c>
      <c r="K19" s="13">
        <f t="shared" si="6"/>
        <v>0.7144861931208123</v>
      </c>
      <c r="L19" s="13">
        <f t="shared" si="7"/>
        <v>0.70385257027333104</v>
      </c>
      <c r="M19" s="13">
        <f t="shared" si="8"/>
        <v>0.69094696253171906</v>
      </c>
      <c r="N19" s="13">
        <f t="shared" si="3"/>
        <v>0.71866934650548353</v>
      </c>
    </row>
    <row r="20" spans="1:14">
      <c r="A20" s="3">
        <v>50234</v>
      </c>
      <c r="B20" s="15">
        <v>1.0000444460492699</v>
      </c>
      <c r="C20" s="13">
        <v>0.74799447566517008</v>
      </c>
      <c r="D20" s="13">
        <v>0.72208223216812739</v>
      </c>
      <c r="E20" s="13">
        <v>0.69561446295393481</v>
      </c>
      <c r="F20" s="13">
        <v>0.68233025376324474</v>
      </c>
      <c r="G20" s="13">
        <v>0.66629334688958997</v>
      </c>
      <c r="H20" s="16">
        <v>0.700838160456415</v>
      </c>
      <c r="I20" s="13">
        <f t="shared" si="4"/>
        <v>0.74802772106448912</v>
      </c>
      <c r="J20" s="13">
        <f t="shared" si="5"/>
        <v>0.72211432587059521</v>
      </c>
      <c r="K20" s="13">
        <f t="shared" si="6"/>
        <v>0.6956453802686281</v>
      </c>
      <c r="L20" s="13">
        <f t="shared" si="7"/>
        <v>0.68236058064732186</v>
      </c>
      <c r="M20" s="13">
        <f t="shared" si="8"/>
        <v>0.666322960996514</v>
      </c>
      <c r="N20" s="13">
        <f t="shared" si="3"/>
        <v>0.7008693099438249</v>
      </c>
    </row>
    <row r="21" spans="1:14">
      <c r="A21" s="3">
        <v>50598</v>
      </c>
      <c r="B21" s="15">
        <v>1.0000444460492699</v>
      </c>
      <c r="C21" s="13">
        <v>0.74318100952809985</v>
      </c>
      <c r="D21" s="13">
        <v>0.71081286606422134</v>
      </c>
      <c r="E21" s="13">
        <v>0.67811060483403507</v>
      </c>
      <c r="F21" s="13">
        <v>0.66183892384208032</v>
      </c>
      <c r="G21" s="13">
        <v>0.64231592142885297</v>
      </c>
      <c r="H21" s="16">
        <v>0.68446812486706743</v>
      </c>
      <c r="I21" s="13">
        <f t="shared" si="4"/>
        <v>0.74321404098786581</v>
      </c>
      <c r="J21" s="13">
        <f t="shared" si="5"/>
        <v>0.71084445888788805</v>
      </c>
      <c r="K21" s="13">
        <f t="shared" si="6"/>
        <v>0.67814074417138792</v>
      </c>
      <c r="L21" s="13">
        <f t="shared" si="7"/>
        <v>0.66186833996749816</v>
      </c>
      <c r="M21" s="13">
        <f t="shared" si="8"/>
        <v>0.64234446983394367</v>
      </c>
      <c r="N21" s="13">
        <f t="shared" si="3"/>
        <v>0.68449854677106892</v>
      </c>
    </row>
    <row r="22" spans="1:14">
      <c r="A22" s="3">
        <v>50963</v>
      </c>
      <c r="B22" s="15">
        <v>1.0000444460492699</v>
      </c>
      <c r="C22" s="13">
        <v>0.74178329256335085</v>
      </c>
      <c r="D22" s="13">
        <v>0.70193922712891788</v>
      </c>
      <c r="E22" s="13">
        <v>0.66218104938410294</v>
      </c>
      <c r="F22" s="13">
        <v>0.64259182637780676</v>
      </c>
      <c r="G22" s="13">
        <v>0.61925191520295297</v>
      </c>
      <c r="H22" s="16">
        <v>0.66981104102760358</v>
      </c>
      <c r="I22" s="13">
        <f t="shared" si="4"/>
        <v>0.74181626190011973</v>
      </c>
      <c r="J22" s="13">
        <f t="shared" si="5"/>
        <v>0.70197042555439138</v>
      </c>
      <c r="K22" s="13">
        <f t="shared" si="6"/>
        <v>0.66221048071564947</v>
      </c>
      <c r="L22" s="13">
        <f t="shared" si="7"/>
        <v>0.64262038704578239</v>
      </c>
      <c r="M22" s="13">
        <f t="shared" si="8"/>
        <v>0.61927943850408651</v>
      </c>
      <c r="N22" s="13">
        <f t="shared" si="3"/>
        <v>0.66984081148213459</v>
      </c>
    </row>
    <row r="23" spans="1:14">
      <c r="A23" s="3">
        <v>51329</v>
      </c>
      <c r="B23" s="15">
        <v>1.0000444460492699</v>
      </c>
      <c r="C23" s="13">
        <v>0.74373768130475626</v>
      </c>
      <c r="D23" s="13">
        <v>0.69533377287524745</v>
      </c>
      <c r="E23" s="13">
        <v>0.64770004160111116</v>
      </c>
      <c r="F23" s="13">
        <v>0.62448587051566651</v>
      </c>
      <c r="G23" s="13">
        <v>0.59704172767460684</v>
      </c>
      <c r="H23" s="16">
        <v>0.65673579124496839</v>
      </c>
      <c r="I23" s="13">
        <f t="shared" si="4"/>
        <v>0.74377073750638345</v>
      </c>
      <c r="J23" s="13">
        <f t="shared" si="5"/>
        <v>0.69536467771437571</v>
      </c>
      <c r="K23" s="13">
        <f t="shared" si="6"/>
        <v>0.64772882930907227</v>
      </c>
      <c r="L23" s="13">
        <f t="shared" si="7"/>
        <v>0.62451362644543584</v>
      </c>
      <c r="M23" s="13">
        <f t="shared" si="8"/>
        <v>0.59706826382065126</v>
      </c>
      <c r="N23" s="13">
        <f t="shared" si="3"/>
        <v>0.65676498055630339</v>
      </c>
    </row>
    <row r="24" spans="1:14">
      <c r="A24" s="3">
        <v>51694</v>
      </c>
      <c r="B24" s="15">
        <v>1.0000444460492699</v>
      </c>
      <c r="C24" s="13">
        <v>0.74880140229892866</v>
      </c>
      <c r="D24" s="13">
        <v>0.6906733086925354</v>
      </c>
      <c r="E24" s="13">
        <v>0.63434099907471742</v>
      </c>
      <c r="F24" s="13">
        <v>0.60721695942728249</v>
      </c>
      <c r="G24" s="13">
        <v>0.57542534031226489</v>
      </c>
      <c r="H24" s="16">
        <v>0.6449111569909729</v>
      </c>
      <c r="I24" s="13">
        <f t="shared" si="4"/>
        <v>0.74883468356294858</v>
      </c>
      <c r="J24" s="13">
        <f t="shared" si="5"/>
        <v>0.690704006392443</v>
      </c>
      <c r="K24" s="13">
        <f t="shared" si="6"/>
        <v>0.63436919302601624</v>
      </c>
      <c r="L24" s="13">
        <f t="shared" si="7"/>
        <v>0.60724394782217872</v>
      </c>
      <c r="M24" s="13">
        <f t="shared" si="8"/>
        <v>0.57545091569529161</v>
      </c>
      <c r="N24" s="13">
        <f t="shared" si="3"/>
        <v>0.64493982074403122</v>
      </c>
    </row>
    <row r="25" spans="1:14">
      <c r="A25" s="3">
        <v>52061</v>
      </c>
      <c r="B25" s="15">
        <v>1.0000444460492699</v>
      </c>
      <c r="C25" s="13">
        <v>0.75689263741594104</v>
      </c>
      <c r="D25" s="13">
        <v>0.68778840354786241</v>
      </c>
      <c r="E25" s="13">
        <v>0.62193373585604406</v>
      </c>
      <c r="F25" s="13">
        <v>0.59063995861878404</v>
      </c>
      <c r="G25" s="13">
        <v>0.55430445759015068</v>
      </c>
      <c r="H25" s="16">
        <v>0.63424325968494244</v>
      </c>
      <c r="I25" s="13">
        <f t="shared" si="4"/>
        <v>0.75692627830339565</v>
      </c>
      <c r="J25" s="13">
        <f t="shared" si="5"/>
        <v>0.68781897302513373</v>
      </c>
      <c r="K25" s="13">
        <f t="shared" si="6"/>
        <v>0.62196137835351051</v>
      </c>
      <c r="L25" s="13">
        <f t="shared" si="7"/>
        <v>0.59066621023148558</v>
      </c>
      <c r="M25" s="13">
        <f t="shared" si="8"/>
        <v>0.55432909423338328</v>
      </c>
      <c r="N25" s="13">
        <f t="shared" si="3"/>
        <v>0.63427144929211154</v>
      </c>
    </row>
    <row r="26" spans="1:14">
      <c r="A26" s="3">
        <v>53885</v>
      </c>
      <c r="B26" s="15">
        <v>1.0000444460492699</v>
      </c>
      <c r="C26" s="13">
        <v>0.70460737822437636</v>
      </c>
      <c r="D26" s="13">
        <v>0.64027678410441624</v>
      </c>
      <c r="E26" s="13">
        <v>0.57897127992539965</v>
      </c>
      <c r="F26" s="13">
        <v>0.54983924026233422</v>
      </c>
      <c r="G26" s="13">
        <v>0.51601375319766729</v>
      </c>
      <c r="H26" s="16">
        <v>0.59042925412809355</v>
      </c>
      <c r="I26" s="13">
        <f t="shared" si="4"/>
        <v>0.70463869523862488</v>
      </c>
      <c r="J26" s="13">
        <f t="shared" si="5"/>
        <v>0.64030524187790894</v>
      </c>
      <c r="K26" s="13">
        <f t="shared" si="6"/>
        <v>0.57899701291143302</v>
      </c>
      <c r="L26" s="13">
        <f t="shared" si="7"/>
        <v>0.5498636784442974</v>
      </c>
      <c r="M26" s="13">
        <f t="shared" si="8"/>
        <v>0.51603668797036584</v>
      </c>
      <c r="N26" s="13">
        <f t="shared" si="3"/>
        <v>0.59045549637581296</v>
      </c>
    </row>
    <row r="27" spans="1:14">
      <c r="A27" s="3">
        <v>55712</v>
      </c>
      <c r="B27" s="15">
        <v>1.0000444460492699</v>
      </c>
      <c r="C27" s="13">
        <v>0.70086943947084424</v>
      </c>
      <c r="D27" s="13">
        <v>0.63446193224419845</v>
      </c>
      <c r="E27" s="13">
        <v>0.54969782868259864</v>
      </c>
      <c r="F27" s="13">
        <v>0.50614041275983357</v>
      </c>
      <c r="G27" s="13">
        <v>0.4488332865471848</v>
      </c>
      <c r="H27" s="16">
        <v>0.55779469673686044</v>
      </c>
      <c r="I27" s="13">
        <f t="shared" si="4"/>
        <v>0.70090059034848273</v>
      </c>
      <c r="J27" s="13">
        <f t="shared" si="5"/>
        <v>0.63449013157049883</v>
      </c>
      <c r="K27" s="13">
        <f t="shared" si="6"/>
        <v>0.54972226057937579</v>
      </c>
      <c r="L27" s="13">
        <f t="shared" si="7"/>
        <v>0.50616290870155656</v>
      </c>
      <c r="M27" s="13">
        <f t="shared" si="8"/>
        <v>0.44885323541355265</v>
      </c>
      <c r="N27" s="13">
        <f t="shared" si="3"/>
        <v>0.55781948850743412</v>
      </c>
    </row>
    <row r="28" spans="1:14">
      <c r="A28" s="3">
        <v>57538</v>
      </c>
      <c r="B28" s="15">
        <v>1.0000444460492699</v>
      </c>
      <c r="C28" s="13">
        <v>0.70994283357178833</v>
      </c>
      <c r="D28" s="13">
        <v>0.63943130149550276</v>
      </c>
      <c r="E28" s="13">
        <v>0.52354741254148462</v>
      </c>
      <c r="F28" s="13">
        <v>0.46309094490728042</v>
      </c>
      <c r="G28" s="13">
        <v>0.38208933971854625</v>
      </c>
      <c r="H28" s="16">
        <v>0.52782259332972981</v>
      </c>
      <c r="I28" s="13">
        <f t="shared" si="4"/>
        <v>0.70997438772594812</v>
      </c>
      <c r="J28" s="13">
        <f t="shared" si="5"/>
        <v>0.6394597216906337</v>
      </c>
      <c r="K28" s="13">
        <f t="shared" si="6"/>
        <v>0.52357068215557756</v>
      </c>
      <c r="L28" s="13">
        <f t="shared" si="7"/>
        <v>0.46311152747023421</v>
      </c>
      <c r="M28" s="13">
        <f t="shared" si="8"/>
        <v>0.38210632208016487</v>
      </c>
      <c r="N28" s="13">
        <f t="shared" si="3"/>
        <v>0.52784605295871867</v>
      </c>
    </row>
    <row r="29" spans="1:14">
      <c r="A29" s="3">
        <v>59364</v>
      </c>
      <c r="B29" s="15">
        <v>1.0000444460492699</v>
      </c>
      <c r="C29" s="13">
        <v>0.73597585966991097</v>
      </c>
      <c r="D29" s="13">
        <v>0.65865323217466099</v>
      </c>
      <c r="E29" s="13">
        <v>0.50524538755413995</v>
      </c>
      <c r="F29" s="13">
        <v>0.42125175728445219</v>
      </c>
      <c r="G29" s="13">
        <v>0.31354891476401925</v>
      </c>
      <c r="H29" s="16">
        <v>0.50106569279954849</v>
      </c>
      <c r="I29" s="13">
        <f t="shared" si="4"/>
        <v>0.73600857088923133</v>
      </c>
      <c r="J29" s="13">
        <f t="shared" si="5"/>
        <v>0.65868250670867001</v>
      </c>
      <c r="K29" s="13">
        <f t="shared" si="6"/>
        <v>0.50526784371552858</v>
      </c>
      <c r="L29" s="13">
        <f t="shared" si="7"/>
        <v>0.42127048026081149</v>
      </c>
      <c r="M29" s="13">
        <f t="shared" si="8"/>
        <v>0.31356285077453339</v>
      </c>
      <c r="N29" s="13">
        <f t="shared" si="3"/>
        <v>0.50108796319001814</v>
      </c>
    </row>
    <row r="30" spans="1:14">
      <c r="A30" s="3">
        <v>63017</v>
      </c>
      <c r="B30" s="15">
        <v>1.0000444460492699</v>
      </c>
      <c r="C30" s="13">
        <v>0.73246246953155403</v>
      </c>
      <c r="D30" s="13">
        <v>0.67704424169912247</v>
      </c>
      <c r="E30" s="13">
        <v>0.50076679870553953</v>
      </c>
      <c r="F30" s="13">
        <v>0.37042738654542751</v>
      </c>
      <c r="G30" s="13">
        <v>0.24491576314158203</v>
      </c>
      <c r="H30" s="16">
        <v>0.46000277084258262</v>
      </c>
      <c r="I30" s="13">
        <f t="shared" si="4"/>
        <v>0.73249502459456317</v>
      </c>
      <c r="J30" s="13">
        <f t="shared" si="5"/>
        <v>0.6770743336408469</v>
      </c>
      <c r="K30" s="13">
        <f t="shared" si="6"/>
        <v>0.50078905581134747</v>
      </c>
      <c r="L30" s="13">
        <f t="shared" si="7"/>
        <v>0.37044385057930085</v>
      </c>
      <c r="M30" s="13">
        <f t="shared" si="8"/>
        <v>0.2449266486796576</v>
      </c>
      <c r="N30" s="13">
        <f t="shared" si="3"/>
        <v>0.46002321614839981</v>
      </c>
    </row>
    <row r="31" spans="1:14">
      <c r="A31" s="3">
        <v>66669</v>
      </c>
      <c r="B31" s="15">
        <v>1.0000444460492699</v>
      </c>
      <c r="C31" s="13">
        <v>0.72800347860663284</v>
      </c>
      <c r="D31" s="13">
        <v>0.69543525122358396</v>
      </c>
      <c r="E31" s="13">
        <v>0.496288209856939</v>
      </c>
      <c r="F31" s="13">
        <v>0.31960301580640293</v>
      </c>
      <c r="G31" s="13">
        <v>0.17628261151914504</v>
      </c>
      <c r="H31" s="16">
        <v>0.42168135874896218</v>
      </c>
      <c r="I31" s="13">
        <f t="shared" si="4"/>
        <v>0.72803583548511164</v>
      </c>
      <c r="J31" s="13">
        <f t="shared" si="5"/>
        <v>0.69546616057302391</v>
      </c>
      <c r="K31" s="13">
        <f t="shared" si="6"/>
        <v>0.49631026790716637</v>
      </c>
      <c r="L31" s="13">
        <f t="shared" si="7"/>
        <v>0.31961722089779027</v>
      </c>
      <c r="M31" s="13">
        <f t="shared" si="8"/>
        <v>0.17629044658478205</v>
      </c>
      <c r="N31" s="13">
        <f t="shared" si="3"/>
        <v>0.42170010081940934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Original</vt:lpstr>
      <vt:lpstr>SSP119</vt:lpstr>
      <vt:lpstr>SSP126</vt:lpstr>
      <vt:lpstr>SSP245</vt:lpstr>
      <vt:lpstr>SSP370</vt:lpstr>
      <vt:lpstr>SSP585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Cathy</cp:lastModifiedBy>
  <dcterms:created xsi:type="dcterms:W3CDTF">2022-07-30T07:14:58Z</dcterms:created>
  <dcterms:modified xsi:type="dcterms:W3CDTF">2022-09-27T07:29:32Z</dcterms:modified>
</cp:coreProperties>
</file>