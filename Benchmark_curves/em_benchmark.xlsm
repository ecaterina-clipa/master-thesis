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thy\Documents\DOC\QF-UniBo\TESI\master-thesis\"/>
    </mc:Choice>
  </mc:AlternateContent>
  <xr:revisionPtr revIDLastSave="0" documentId="13_ncr:1_{0FBD6F49-3762-4903-B129-8F824213D0DC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Original" sheetId="31" r:id="rId1"/>
    <sheet name="SSP119" sheetId="24" r:id="rId2"/>
    <sheet name="SSP126" sheetId="33" r:id="rId3"/>
    <sheet name="SSP245" sheetId="34" r:id="rId4"/>
    <sheet name="SSP370" sheetId="35" r:id="rId5"/>
    <sheet name="SSP585" sheetId="36" r:id="rId6"/>
    <sheet name="Scenarios" sheetId="29" r:id="rId7"/>
  </sheets>
  <functionGroups builtInGroupCount="19"/>
  <definedNames>
    <definedName name="solver_adj" localSheetId="1" hidden="1">'SSP119'!$G$3:$G$122</definedName>
    <definedName name="solver_adj" localSheetId="2" hidden="1">'SSP126'!$G$3:$G$122</definedName>
    <definedName name="solver_adj" localSheetId="3" hidden="1">'SSP245'!$G$3:$G$122</definedName>
    <definedName name="solver_adj" localSheetId="4" hidden="1">'SSP370'!$G$3:$G$122</definedName>
    <definedName name="solver_adj" localSheetId="5" hidden="1">'SSP585'!$G$3:$G$122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4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5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eng" localSheetId="6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lhs1" localSheetId="1" hidden="1">'SSP119'!$K$2</definedName>
    <definedName name="solver_lhs1" localSheetId="2" hidden="1">'SSP126'!$K$2</definedName>
    <definedName name="solver_lhs1" localSheetId="3" hidden="1">'SSP245'!$K$2</definedName>
    <definedName name="solver_lhs1" localSheetId="4" hidden="1">'SSP370'!$K$2</definedName>
    <definedName name="solver_lhs1" localSheetId="5" hidden="1">'SSP585'!$K$2</definedName>
    <definedName name="solver_lhs2" localSheetId="1" hidden="1">'SSP119'!$K$42</definedName>
    <definedName name="solver_lhs2" localSheetId="2" hidden="1">'SSP126'!$K$42</definedName>
    <definedName name="solver_lhs2" localSheetId="3" hidden="1">'SSP245'!$K$42</definedName>
    <definedName name="solver_lhs2" localSheetId="4" hidden="1">'SSP370'!$K$42</definedName>
    <definedName name="solver_lhs2" localSheetId="5" hidden="1">'SSP585'!$K$42</definedName>
    <definedName name="solver_lhs3" localSheetId="1" hidden="1">'SSP119'!$K$82</definedName>
    <definedName name="solver_lhs3" localSheetId="2" hidden="1">'SSP126'!$K$82</definedName>
    <definedName name="solver_lhs3" localSheetId="3" hidden="1">'SSP245'!$K$82</definedName>
    <definedName name="solver_lhs3" localSheetId="4" hidden="1">'SSP370'!$K$82</definedName>
    <definedName name="solver_lhs3" localSheetId="5" hidden="1">'SSP585'!$K$82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4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5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neg" localSheetId="6" hidden="1">1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um" localSheetId="6" hidden="1">0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um" localSheetId="4" hidden="1">3</definedName>
    <definedName name="solver_num" localSheetId="5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opt" localSheetId="6" hidden="1">Scenarios!#REF!</definedName>
    <definedName name="solver_opt" localSheetId="1" hidden="1">'SSP119'!$K$122</definedName>
    <definedName name="solver_opt" localSheetId="2" hidden="1">'SSP126'!$K$122</definedName>
    <definedName name="solver_opt" localSheetId="3" hidden="1">'SSP245'!$K$122</definedName>
    <definedName name="solver_opt" localSheetId="4" hidden="1">'SSP370'!$K$122</definedName>
    <definedName name="solver_opt" localSheetId="5" hidden="1">'SSP585'!$K$122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4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5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bv" localSheetId="4" hidden="1">1</definedName>
    <definedName name="solver_rbv" localSheetId="5" hidden="1">1</definedName>
    <definedName name="solver_rel1" localSheetId="1" hidden="1">2</definedName>
    <definedName name="solver_rel1" localSheetId="2" hidden="1">2</definedName>
    <definedName name="solver_rel1" localSheetId="3" hidden="1">2</definedName>
    <definedName name="solver_rel1" localSheetId="4" hidden="1">2</definedName>
    <definedName name="solver_rel1" localSheetId="5" hidden="1">2</definedName>
    <definedName name="solver_rel2" localSheetId="1" hidden="1">2</definedName>
    <definedName name="solver_rel2" localSheetId="2" hidden="1">2</definedName>
    <definedName name="solver_rel2" localSheetId="3" hidden="1">2</definedName>
    <definedName name="solver_rel2" localSheetId="4" hidden="1">2</definedName>
    <definedName name="solver_rel2" localSheetId="5" hidden="1">2</definedName>
    <definedName name="solver_rel3" localSheetId="1" hidden="1">2</definedName>
    <definedName name="solver_rel3" localSheetId="2" hidden="1">2</definedName>
    <definedName name="solver_rel3" localSheetId="3" hidden="1">2</definedName>
    <definedName name="solver_rel3" localSheetId="4" hidden="1">2</definedName>
    <definedName name="solver_rel3" localSheetId="5" hidden="1">2</definedName>
    <definedName name="solver_rhs1" localSheetId="1" hidden="1">1</definedName>
    <definedName name="solver_rhs1" localSheetId="2" hidden="1">1</definedName>
    <definedName name="solver_rhs1" localSheetId="3" hidden="1">1</definedName>
    <definedName name="solver_rhs1" localSheetId="4" hidden="1">1</definedName>
    <definedName name="solver_rhs1" localSheetId="5" hidden="1">1</definedName>
    <definedName name="solver_rhs2" localSheetId="1" hidden="1">'SSP119'!$L$42</definedName>
    <definedName name="solver_rhs2" localSheetId="2" hidden="1">'SSP126'!$L$42</definedName>
    <definedName name="solver_rhs2" localSheetId="3" hidden="1">'SSP245'!$L$42</definedName>
    <definedName name="solver_rhs2" localSheetId="4" hidden="1">'SSP370'!$L$42</definedName>
    <definedName name="solver_rhs2" localSheetId="5" hidden="1">'SSP585'!$L$42</definedName>
    <definedName name="solver_rhs3" localSheetId="1" hidden="1">'SSP119'!$L$82</definedName>
    <definedName name="solver_rhs3" localSheetId="2" hidden="1">'SSP126'!$L$82</definedName>
    <definedName name="solver_rhs3" localSheetId="3" hidden="1">'SSP245'!$L$82</definedName>
    <definedName name="solver_rhs3" localSheetId="4" hidden="1">'SSP370'!$L$82</definedName>
    <definedName name="solver_rhs3" localSheetId="5" hidden="1">'SSP585'!$L$82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cl" localSheetId="4" hidden="1">1</definedName>
    <definedName name="solver_scl" localSheetId="5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ol" localSheetId="1" hidden="1">1</definedName>
    <definedName name="solver_tol" localSheetId="2" hidden="1">1</definedName>
    <definedName name="solver_tol" localSheetId="3" hidden="1">1</definedName>
    <definedName name="solver_tol" localSheetId="4" hidden="1">1</definedName>
    <definedName name="solver_tol" localSheetId="5" hidden="1">1</definedName>
    <definedName name="solver_typ" localSheetId="6" hidden="1">1</definedName>
    <definedName name="solver_typ" localSheetId="1" hidden="1">3</definedName>
    <definedName name="solver_typ" localSheetId="2" hidden="1">3</definedName>
    <definedName name="solver_typ" localSheetId="3" hidden="1">3</definedName>
    <definedName name="solver_typ" localSheetId="4" hidden="1">3</definedName>
    <definedName name="solver_typ" localSheetId="5" hidden="1">3</definedName>
    <definedName name="solver_val" localSheetId="6" hidden="1">0</definedName>
    <definedName name="solver_val" localSheetId="1" hidden="1">0.727253588274349</definedName>
    <definedName name="solver_val" localSheetId="2" hidden="1">0.694027621668857</definedName>
    <definedName name="solver_val" localSheetId="3" hidden="1">0.493054090595486</definedName>
    <definedName name="solver_val" localSheetId="4" hidden="1">0.314346293316709</definedName>
    <definedName name="solver_val" localSheetId="5" hidden="1">0.170611499141322</definedName>
    <definedName name="solver_ver" localSheetId="6" hidden="1">3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29" l="1"/>
  <c r="K3" i="29"/>
  <c r="L3" i="29"/>
  <c r="M3" i="29"/>
  <c r="N3" i="29"/>
  <c r="I3" i="29"/>
  <c r="N5" i="29"/>
  <c r="N6" i="29"/>
  <c r="N7" i="29"/>
  <c r="N8" i="29"/>
  <c r="N9" i="29"/>
  <c r="N10" i="29"/>
  <c r="N11" i="29"/>
  <c r="N12" i="29"/>
  <c r="N13" i="29"/>
  <c r="N14" i="29"/>
  <c r="N15" i="29"/>
  <c r="N16" i="29"/>
  <c r="N17" i="29"/>
  <c r="N18" i="29"/>
  <c r="N19" i="29"/>
  <c r="N20" i="29"/>
  <c r="N21" i="29"/>
  <c r="N22" i="29"/>
  <c r="N23" i="29"/>
  <c r="N24" i="29"/>
  <c r="N25" i="29"/>
  <c r="N26" i="29"/>
  <c r="N27" i="29"/>
  <c r="N28" i="29"/>
  <c r="N29" i="29"/>
  <c r="N30" i="29"/>
  <c r="N31" i="29"/>
  <c r="N4" i="29"/>
  <c r="I8" i="29"/>
  <c r="J8" i="29"/>
  <c r="K8" i="29"/>
  <c r="L8" i="29"/>
  <c r="M8" i="29"/>
  <c r="I9" i="29"/>
  <c r="J9" i="29"/>
  <c r="K9" i="29"/>
  <c r="L9" i="29"/>
  <c r="M9" i="29"/>
  <c r="I10" i="29"/>
  <c r="J10" i="29"/>
  <c r="K10" i="29"/>
  <c r="L10" i="29"/>
  <c r="M10" i="29"/>
  <c r="I11" i="29"/>
  <c r="J11" i="29"/>
  <c r="K11" i="29"/>
  <c r="L11" i="29"/>
  <c r="M11" i="29"/>
  <c r="I12" i="29"/>
  <c r="J12" i="29"/>
  <c r="K12" i="29"/>
  <c r="L12" i="29"/>
  <c r="M12" i="29"/>
  <c r="I13" i="29"/>
  <c r="J13" i="29"/>
  <c r="K13" i="29"/>
  <c r="L13" i="29"/>
  <c r="M13" i="29"/>
  <c r="I14" i="29"/>
  <c r="J14" i="29"/>
  <c r="K14" i="29"/>
  <c r="L14" i="29"/>
  <c r="M14" i="29"/>
  <c r="I15" i="29"/>
  <c r="J15" i="29"/>
  <c r="K15" i="29"/>
  <c r="L15" i="29"/>
  <c r="M15" i="29"/>
  <c r="I16" i="29"/>
  <c r="J16" i="29"/>
  <c r="K16" i="29"/>
  <c r="L16" i="29"/>
  <c r="M16" i="29"/>
  <c r="I17" i="29"/>
  <c r="J17" i="29"/>
  <c r="K17" i="29"/>
  <c r="L17" i="29"/>
  <c r="M17" i="29"/>
  <c r="I18" i="29"/>
  <c r="J18" i="29"/>
  <c r="K18" i="29"/>
  <c r="L18" i="29"/>
  <c r="M18" i="29"/>
  <c r="I19" i="29"/>
  <c r="J19" i="29"/>
  <c r="K19" i="29"/>
  <c r="L19" i="29"/>
  <c r="M19" i="29"/>
  <c r="I20" i="29"/>
  <c r="J20" i="29"/>
  <c r="K20" i="29"/>
  <c r="L20" i="29"/>
  <c r="M20" i="29"/>
  <c r="I21" i="29"/>
  <c r="J21" i="29"/>
  <c r="K21" i="29"/>
  <c r="L21" i="29"/>
  <c r="M21" i="29"/>
  <c r="I22" i="29"/>
  <c r="J22" i="29"/>
  <c r="K22" i="29"/>
  <c r="L22" i="29"/>
  <c r="M22" i="29"/>
  <c r="I23" i="29"/>
  <c r="J23" i="29"/>
  <c r="K23" i="29"/>
  <c r="L23" i="29"/>
  <c r="M23" i="29"/>
  <c r="I24" i="29"/>
  <c r="J24" i="29"/>
  <c r="K24" i="29"/>
  <c r="L24" i="29"/>
  <c r="M24" i="29"/>
  <c r="I25" i="29"/>
  <c r="J25" i="29"/>
  <c r="K25" i="29"/>
  <c r="L25" i="29"/>
  <c r="M25" i="29"/>
  <c r="I26" i="29"/>
  <c r="J26" i="29"/>
  <c r="K26" i="29"/>
  <c r="L26" i="29"/>
  <c r="M26" i="29"/>
  <c r="I27" i="29"/>
  <c r="J27" i="29"/>
  <c r="K27" i="29"/>
  <c r="L27" i="29"/>
  <c r="M27" i="29"/>
  <c r="I28" i="29"/>
  <c r="J28" i="29"/>
  <c r="K28" i="29"/>
  <c r="L28" i="29"/>
  <c r="M28" i="29"/>
  <c r="I29" i="29"/>
  <c r="J29" i="29"/>
  <c r="K29" i="29"/>
  <c r="L29" i="29"/>
  <c r="M29" i="29"/>
  <c r="I30" i="29"/>
  <c r="J30" i="29"/>
  <c r="K30" i="29"/>
  <c r="L30" i="29"/>
  <c r="M30" i="29"/>
  <c r="I31" i="29"/>
  <c r="J31" i="29"/>
  <c r="K31" i="29"/>
  <c r="L31" i="29"/>
  <c r="M31" i="29"/>
  <c r="J3" i="36"/>
  <c r="J4" i="36" s="1"/>
  <c r="J5" i="36" s="1"/>
  <c r="J6" i="36" s="1"/>
  <c r="J7" i="36" s="1"/>
  <c r="J8" i="36" s="1"/>
  <c r="J9" i="36" s="1"/>
  <c r="J10" i="36" s="1"/>
  <c r="J11" i="36" s="1"/>
  <c r="J12" i="36" s="1"/>
  <c r="J13" i="36" s="1"/>
  <c r="J14" i="36" s="1"/>
  <c r="J15" i="36" s="1"/>
  <c r="J16" i="36" s="1"/>
  <c r="J17" i="36" s="1"/>
  <c r="J18" i="36" s="1"/>
  <c r="J19" i="36" s="1"/>
  <c r="J20" i="36" s="1"/>
  <c r="J21" i="36" s="1"/>
  <c r="J22" i="36" s="1"/>
  <c r="J23" i="36" s="1"/>
  <c r="J24" i="36" s="1"/>
  <c r="J25" i="36" s="1"/>
  <c r="J26" i="36" s="1"/>
  <c r="J27" i="36" s="1"/>
  <c r="J28" i="36" s="1"/>
  <c r="J29" i="36" s="1"/>
  <c r="J30" i="36" s="1"/>
  <c r="J31" i="36" s="1"/>
  <c r="J32" i="36" s="1"/>
  <c r="J33" i="36" s="1"/>
  <c r="J34" i="36" s="1"/>
  <c r="J35" i="36" s="1"/>
  <c r="J36" i="36" s="1"/>
  <c r="J37" i="36" s="1"/>
  <c r="J38" i="36" s="1"/>
  <c r="J39" i="36" s="1"/>
  <c r="J40" i="36" s="1"/>
  <c r="J41" i="36" s="1"/>
  <c r="J42" i="36" s="1"/>
  <c r="J43" i="36" s="1"/>
  <c r="J44" i="36" s="1"/>
  <c r="J45" i="36" s="1"/>
  <c r="J46" i="36" s="1"/>
  <c r="J47" i="36" s="1"/>
  <c r="J48" i="36" s="1"/>
  <c r="J49" i="36" s="1"/>
  <c r="J50" i="36" s="1"/>
  <c r="J51" i="36" s="1"/>
  <c r="J52" i="36" s="1"/>
  <c r="J53" i="36" s="1"/>
  <c r="J54" i="36" s="1"/>
  <c r="J55" i="36" s="1"/>
  <c r="J56" i="36" s="1"/>
  <c r="J57" i="36" s="1"/>
  <c r="J58" i="36" s="1"/>
  <c r="J59" i="36" s="1"/>
  <c r="J60" i="36" s="1"/>
  <c r="J61" i="36" s="1"/>
  <c r="J62" i="36" s="1"/>
  <c r="J63" i="36" s="1"/>
  <c r="J64" i="36" s="1"/>
  <c r="J65" i="36" s="1"/>
  <c r="J66" i="36" s="1"/>
  <c r="J67" i="36" s="1"/>
  <c r="J68" i="36" s="1"/>
  <c r="J69" i="36" s="1"/>
  <c r="J70" i="36" s="1"/>
  <c r="J71" i="36" s="1"/>
  <c r="J72" i="36" s="1"/>
  <c r="J73" i="36" s="1"/>
  <c r="J74" i="36" s="1"/>
  <c r="J75" i="36" s="1"/>
  <c r="J76" i="36" s="1"/>
  <c r="J77" i="36" s="1"/>
  <c r="J78" i="36" s="1"/>
  <c r="J79" i="36" s="1"/>
  <c r="J80" i="36" s="1"/>
  <c r="J81" i="36" s="1"/>
  <c r="J82" i="36" s="1"/>
  <c r="J83" i="36" s="1"/>
  <c r="J84" i="36" s="1"/>
  <c r="J85" i="36" s="1"/>
  <c r="J86" i="36" s="1"/>
  <c r="J87" i="36" s="1"/>
  <c r="J88" i="36" s="1"/>
  <c r="J89" i="36" s="1"/>
  <c r="J90" i="36" s="1"/>
  <c r="J91" i="36" s="1"/>
  <c r="J92" i="36" s="1"/>
  <c r="J93" i="36" s="1"/>
  <c r="J94" i="36" s="1"/>
  <c r="J95" i="36" s="1"/>
  <c r="J96" i="36" s="1"/>
  <c r="J97" i="36" s="1"/>
  <c r="J98" i="36" s="1"/>
  <c r="J99" i="36" s="1"/>
  <c r="J100" i="36" s="1"/>
  <c r="J101" i="36" s="1"/>
  <c r="J102" i="36" s="1"/>
  <c r="J103" i="36" s="1"/>
  <c r="J104" i="36" s="1"/>
  <c r="J105" i="36" s="1"/>
  <c r="J106" i="36" s="1"/>
  <c r="J107" i="36" s="1"/>
  <c r="J108" i="36" s="1"/>
  <c r="J109" i="36" s="1"/>
  <c r="J110" i="36" s="1"/>
  <c r="J111" i="36" s="1"/>
  <c r="J112" i="36" s="1"/>
  <c r="J113" i="36" s="1"/>
  <c r="J114" i="36" s="1"/>
  <c r="J115" i="36" s="1"/>
  <c r="J116" i="36" s="1"/>
  <c r="J117" i="36" s="1"/>
  <c r="J118" i="36" s="1"/>
  <c r="J119" i="36" s="1"/>
  <c r="J120" i="36" s="1"/>
  <c r="J121" i="36" s="1"/>
  <c r="J3" i="35"/>
  <c r="J4" i="35" s="1"/>
  <c r="J5" i="35" s="1"/>
  <c r="J6" i="35" s="1"/>
  <c r="J7" i="35" s="1"/>
  <c r="J8" i="35" s="1"/>
  <c r="J9" i="35" s="1"/>
  <c r="J10" i="35" s="1"/>
  <c r="J11" i="35" s="1"/>
  <c r="J12" i="35" s="1"/>
  <c r="J13" i="35" s="1"/>
  <c r="J14" i="35" s="1"/>
  <c r="J15" i="35" s="1"/>
  <c r="J16" i="35" s="1"/>
  <c r="J17" i="35" s="1"/>
  <c r="J18" i="35" s="1"/>
  <c r="J19" i="35" s="1"/>
  <c r="J20" i="35" s="1"/>
  <c r="J21" i="35" s="1"/>
  <c r="J22" i="35" s="1"/>
  <c r="J23" i="35" s="1"/>
  <c r="J24" i="35" s="1"/>
  <c r="J25" i="35" s="1"/>
  <c r="J26" i="35" s="1"/>
  <c r="J27" i="35" s="1"/>
  <c r="J28" i="35" s="1"/>
  <c r="J29" i="35" s="1"/>
  <c r="J30" i="35" s="1"/>
  <c r="J31" i="35" s="1"/>
  <c r="J32" i="35" s="1"/>
  <c r="J33" i="35" s="1"/>
  <c r="J34" i="35" s="1"/>
  <c r="J35" i="35" s="1"/>
  <c r="J36" i="35" s="1"/>
  <c r="J37" i="35" s="1"/>
  <c r="J38" i="35" s="1"/>
  <c r="J39" i="35" s="1"/>
  <c r="J40" i="35" s="1"/>
  <c r="J41" i="35" s="1"/>
  <c r="J42" i="35" s="1"/>
  <c r="J43" i="35" s="1"/>
  <c r="J44" i="35" s="1"/>
  <c r="J45" i="35" s="1"/>
  <c r="J46" i="35" s="1"/>
  <c r="J47" i="35" s="1"/>
  <c r="J48" i="35" s="1"/>
  <c r="J49" i="35" s="1"/>
  <c r="J50" i="35" s="1"/>
  <c r="J51" i="35" s="1"/>
  <c r="J52" i="35" s="1"/>
  <c r="J53" i="35" s="1"/>
  <c r="J54" i="35" s="1"/>
  <c r="J55" i="35" s="1"/>
  <c r="J56" i="35" s="1"/>
  <c r="J57" i="35" s="1"/>
  <c r="J58" i="35" s="1"/>
  <c r="J59" i="35" s="1"/>
  <c r="J60" i="35" s="1"/>
  <c r="J61" i="35" s="1"/>
  <c r="J62" i="35" s="1"/>
  <c r="J63" i="35" s="1"/>
  <c r="J64" i="35" s="1"/>
  <c r="J65" i="35" s="1"/>
  <c r="J66" i="35" s="1"/>
  <c r="J67" i="35" s="1"/>
  <c r="J68" i="35" s="1"/>
  <c r="J69" i="35" s="1"/>
  <c r="J70" i="35" s="1"/>
  <c r="J71" i="35" s="1"/>
  <c r="J72" i="35" s="1"/>
  <c r="J73" i="35" s="1"/>
  <c r="J74" i="35" s="1"/>
  <c r="J75" i="35" s="1"/>
  <c r="J76" i="35" s="1"/>
  <c r="J77" i="35" s="1"/>
  <c r="J78" i="35" s="1"/>
  <c r="J79" i="35" s="1"/>
  <c r="J80" i="35" s="1"/>
  <c r="J81" i="35" s="1"/>
  <c r="J82" i="35" s="1"/>
  <c r="J83" i="35" s="1"/>
  <c r="J84" i="35" s="1"/>
  <c r="J85" i="35" s="1"/>
  <c r="J86" i="35" s="1"/>
  <c r="J87" i="35" s="1"/>
  <c r="J88" i="35" s="1"/>
  <c r="J89" i="35" s="1"/>
  <c r="J90" i="35" s="1"/>
  <c r="J91" i="35" s="1"/>
  <c r="J92" i="35" s="1"/>
  <c r="J93" i="35" s="1"/>
  <c r="J94" i="35" s="1"/>
  <c r="J95" i="35" s="1"/>
  <c r="J96" i="35" s="1"/>
  <c r="J97" i="35" s="1"/>
  <c r="J98" i="35" s="1"/>
  <c r="J99" i="35" s="1"/>
  <c r="J100" i="35" s="1"/>
  <c r="J101" i="35" s="1"/>
  <c r="J102" i="35" s="1"/>
  <c r="J103" i="35" s="1"/>
  <c r="J104" i="35" s="1"/>
  <c r="J105" i="35" s="1"/>
  <c r="J106" i="35" s="1"/>
  <c r="J107" i="35" s="1"/>
  <c r="J108" i="35" s="1"/>
  <c r="J109" i="35" s="1"/>
  <c r="J110" i="35" s="1"/>
  <c r="J111" i="35" s="1"/>
  <c r="J112" i="35" s="1"/>
  <c r="J113" i="35" s="1"/>
  <c r="J114" i="35" s="1"/>
  <c r="J115" i="35" s="1"/>
  <c r="J116" i="35" s="1"/>
  <c r="J117" i="35" s="1"/>
  <c r="J118" i="35" s="1"/>
  <c r="J119" i="35" s="1"/>
  <c r="J120" i="35" s="1"/>
  <c r="J121" i="35" s="1"/>
  <c r="J3" i="34"/>
  <c r="J4" i="34" s="1"/>
  <c r="J5" i="34" s="1"/>
  <c r="J6" i="34" s="1"/>
  <c r="J7" i="34" s="1"/>
  <c r="J8" i="34" s="1"/>
  <c r="J9" i="34" s="1"/>
  <c r="J10" i="34" s="1"/>
  <c r="J11" i="34" s="1"/>
  <c r="J12" i="34" s="1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42" i="34" s="1"/>
  <c r="J43" i="34" s="1"/>
  <c r="J44" i="34" s="1"/>
  <c r="J45" i="34" s="1"/>
  <c r="J46" i="34" s="1"/>
  <c r="J47" i="34" s="1"/>
  <c r="J48" i="34" s="1"/>
  <c r="J49" i="34" s="1"/>
  <c r="J50" i="34" s="1"/>
  <c r="J51" i="34" s="1"/>
  <c r="J52" i="34" s="1"/>
  <c r="J53" i="34" s="1"/>
  <c r="J54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81" i="34" s="1"/>
  <c r="J82" i="34" s="1"/>
  <c r="J83" i="34" s="1"/>
  <c r="J84" i="34" s="1"/>
  <c r="J85" i="34" s="1"/>
  <c r="J86" i="34" s="1"/>
  <c r="J87" i="34" s="1"/>
  <c r="J88" i="34" s="1"/>
  <c r="J89" i="34" s="1"/>
  <c r="J90" i="34" s="1"/>
  <c r="J91" i="34" s="1"/>
  <c r="J92" i="34" s="1"/>
  <c r="J93" i="34" s="1"/>
  <c r="J94" i="34" s="1"/>
  <c r="J95" i="34" s="1"/>
  <c r="J96" i="34" s="1"/>
  <c r="J97" i="34" s="1"/>
  <c r="J98" i="34" s="1"/>
  <c r="J99" i="34" s="1"/>
  <c r="J100" i="34" s="1"/>
  <c r="J101" i="34" s="1"/>
  <c r="J102" i="34" s="1"/>
  <c r="J103" i="34" s="1"/>
  <c r="J104" i="34" s="1"/>
  <c r="J105" i="34" s="1"/>
  <c r="J106" i="34" s="1"/>
  <c r="J107" i="34" s="1"/>
  <c r="J108" i="34" s="1"/>
  <c r="J109" i="34" s="1"/>
  <c r="J110" i="34" s="1"/>
  <c r="J111" i="34" s="1"/>
  <c r="J112" i="34" s="1"/>
  <c r="J113" i="34" s="1"/>
  <c r="J114" i="34" s="1"/>
  <c r="J115" i="34" s="1"/>
  <c r="J116" i="34" s="1"/>
  <c r="J117" i="34" s="1"/>
  <c r="J118" i="34" s="1"/>
  <c r="J119" i="34" s="1"/>
  <c r="J120" i="34" s="1"/>
  <c r="J121" i="34" s="1"/>
  <c r="J3" i="33"/>
  <c r="J4" i="33" s="1"/>
  <c r="J5" i="33" s="1"/>
  <c r="J6" i="33" s="1"/>
  <c r="J7" i="33" s="1"/>
  <c r="J8" i="33" s="1"/>
  <c r="J9" i="33" s="1"/>
  <c r="J10" i="33" s="1"/>
  <c r="J11" i="33" s="1"/>
  <c r="J12" i="33" s="1"/>
  <c r="J13" i="33" s="1"/>
  <c r="J14" i="33" s="1"/>
  <c r="J15" i="33" s="1"/>
  <c r="J16" i="33" s="1"/>
  <c r="J17" i="33" s="1"/>
  <c r="J18" i="33" s="1"/>
  <c r="J19" i="33" s="1"/>
  <c r="J20" i="33" s="1"/>
  <c r="J21" i="33" s="1"/>
  <c r="J22" i="33" s="1"/>
  <c r="J23" i="33" s="1"/>
  <c r="J24" i="33" s="1"/>
  <c r="J25" i="33" s="1"/>
  <c r="J26" i="33" s="1"/>
  <c r="J27" i="33" s="1"/>
  <c r="J28" i="33" s="1"/>
  <c r="J29" i="33" s="1"/>
  <c r="J30" i="33" s="1"/>
  <c r="J31" i="33" s="1"/>
  <c r="J32" i="33" s="1"/>
  <c r="J33" i="33" s="1"/>
  <c r="J34" i="33" s="1"/>
  <c r="J35" i="33" s="1"/>
  <c r="J36" i="33" s="1"/>
  <c r="J37" i="33" s="1"/>
  <c r="J38" i="33" s="1"/>
  <c r="J39" i="33" s="1"/>
  <c r="J40" i="33" s="1"/>
  <c r="J41" i="33" s="1"/>
  <c r="J42" i="33" s="1"/>
  <c r="J43" i="33" s="1"/>
  <c r="J44" i="33" s="1"/>
  <c r="J45" i="33" s="1"/>
  <c r="J46" i="33" s="1"/>
  <c r="J47" i="33" s="1"/>
  <c r="J48" i="33" s="1"/>
  <c r="J49" i="33" s="1"/>
  <c r="J50" i="33" s="1"/>
  <c r="J51" i="33" s="1"/>
  <c r="J52" i="33" s="1"/>
  <c r="J53" i="33" s="1"/>
  <c r="J54" i="33" s="1"/>
  <c r="J55" i="33" s="1"/>
  <c r="J56" i="33" s="1"/>
  <c r="J57" i="33" s="1"/>
  <c r="J58" i="33" s="1"/>
  <c r="J59" i="33" s="1"/>
  <c r="J60" i="33" s="1"/>
  <c r="J61" i="33" s="1"/>
  <c r="J62" i="33" s="1"/>
  <c r="J63" i="33" s="1"/>
  <c r="J64" i="33" s="1"/>
  <c r="J65" i="33" s="1"/>
  <c r="J66" i="33" s="1"/>
  <c r="J67" i="33" s="1"/>
  <c r="J68" i="33" s="1"/>
  <c r="J69" i="33" s="1"/>
  <c r="J70" i="33" s="1"/>
  <c r="J71" i="33" s="1"/>
  <c r="J72" i="33" s="1"/>
  <c r="J73" i="33" s="1"/>
  <c r="J74" i="33" s="1"/>
  <c r="J75" i="33" s="1"/>
  <c r="J76" i="33" s="1"/>
  <c r="J77" i="33" s="1"/>
  <c r="J78" i="33" s="1"/>
  <c r="J79" i="33" s="1"/>
  <c r="J80" i="33" s="1"/>
  <c r="J81" i="33" s="1"/>
  <c r="J82" i="33" s="1"/>
  <c r="J83" i="33" s="1"/>
  <c r="J84" i="33" s="1"/>
  <c r="J85" i="33" s="1"/>
  <c r="J86" i="33" s="1"/>
  <c r="J87" i="33" s="1"/>
  <c r="J88" i="33" s="1"/>
  <c r="J89" i="33" s="1"/>
  <c r="J90" i="33" s="1"/>
  <c r="J91" i="33" s="1"/>
  <c r="J92" i="33" s="1"/>
  <c r="J93" i="33" s="1"/>
  <c r="J94" i="33" s="1"/>
  <c r="J95" i="33" s="1"/>
  <c r="J96" i="33" s="1"/>
  <c r="J97" i="33" s="1"/>
  <c r="J98" i="33" s="1"/>
  <c r="J99" i="33" s="1"/>
  <c r="J100" i="33" s="1"/>
  <c r="J101" i="33" s="1"/>
  <c r="J102" i="33" s="1"/>
  <c r="J103" i="33" s="1"/>
  <c r="J104" i="33" s="1"/>
  <c r="J105" i="33" s="1"/>
  <c r="J106" i="33" s="1"/>
  <c r="J107" i="33" s="1"/>
  <c r="J108" i="33" s="1"/>
  <c r="J109" i="33" s="1"/>
  <c r="J110" i="33" s="1"/>
  <c r="J111" i="33" s="1"/>
  <c r="J112" i="33" s="1"/>
  <c r="J113" i="33" s="1"/>
  <c r="J114" i="33" s="1"/>
  <c r="J115" i="33" s="1"/>
  <c r="J116" i="33" s="1"/>
  <c r="J117" i="33" s="1"/>
  <c r="J118" i="33" s="1"/>
  <c r="J119" i="33" s="1"/>
  <c r="J120" i="33" s="1"/>
  <c r="J121" i="33" s="1"/>
  <c r="J3" i="24"/>
  <c r="J4" i="24" s="1"/>
  <c r="J5" i="24" s="1"/>
  <c r="J6" i="24" s="1"/>
  <c r="J7" i="24" s="1"/>
  <c r="J8" i="24" s="1"/>
  <c r="J9" i="24" s="1"/>
  <c r="J10" i="24" s="1"/>
  <c r="J11" i="24" s="1"/>
  <c r="J12" i="24" s="1"/>
  <c r="J13" i="24" s="1"/>
  <c r="J14" i="24" s="1"/>
  <c r="J15" i="24" s="1"/>
  <c r="J16" i="24" s="1"/>
  <c r="J17" i="24" s="1"/>
  <c r="J18" i="24" s="1"/>
  <c r="J19" i="24" s="1"/>
  <c r="J20" i="24" s="1"/>
  <c r="J21" i="24" s="1"/>
  <c r="J22" i="24" s="1"/>
  <c r="J23" i="24" s="1"/>
  <c r="J24" i="24" s="1"/>
  <c r="J25" i="24" s="1"/>
  <c r="J26" i="24" s="1"/>
  <c r="J27" i="24" s="1"/>
  <c r="J28" i="24" s="1"/>
  <c r="J29" i="24" s="1"/>
  <c r="J30" i="24" s="1"/>
  <c r="J31" i="24" s="1"/>
  <c r="J32" i="24" s="1"/>
  <c r="J33" i="24" s="1"/>
  <c r="J34" i="24" s="1"/>
  <c r="J35" i="24" s="1"/>
  <c r="J36" i="24" s="1"/>
  <c r="J37" i="24" s="1"/>
  <c r="J38" i="24" s="1"/>
  <c r="J39" i="24" s="1"/>
  <c r="J40" i="24" s="1"/>
  <c r="J41" i="24" s="1"/>
  <c r="J42" i="24" s="1"/>
  <c r="J43" i="24" s="1"/>
  <c r="J44" i="24" s="1"/>
  <c r="J45" i="24" s="1"/>
  <c r="J46" i="24" s="1"/>
  <c r="J47" i="24" s="1"/>
  <c r="J48" i="24" s="1"/>
  <c r="J49" i="24" s="1"/>
  <c r="J50" i="24" s="1"/>
  <c r="J51" i="24" s="1"/>
  <c r="J52" i="24" s="1"/>
  <c r="J53" i="24" s="1"/>
  <c r="J54" i="24" s="1"/>
  <c r="J55" i="24" s="1"/>
  <c r="J56" i="24" s="1"/>
  <c r="J57" i="24" s="1"/>
  <c r="J58" i="24" s="1"/>
  <c r="J59" i="24" s="1"/>
  <c r="J60" i="24" s="1"/>
  <c r="J61" i="24" s="1"/>
  <c r="J62" i="24" s="1"/>
  <c r="J63" i="24" s="1"/>
  <c r="J64" i="24" s="1"/>
  <c r="J65" i="24" s="1"/>
  <c r="J66" i="24" s="1"/>
  <c r="J67" i="24" s="1"/>
  <c r="J68" i="24" s="1"/>
  <c r="J69" i="24" s="1"/>
  <c r="J70" i="24" s="1"/>
  <c r="J71" i="24" s="1"/>
  <c r="J72" i="24" s="1"/>
  <c r="J73" i="24" s="1"/>
  <c r="J74" i="24" s="1"/>
  <c r="J75" i="24" s="1"/>
  <c r="J76" i="24" s="1"/>
  <c r="J77" i="24" s="1"/>
  <c r="J78" i="24" s="1"/>
  <c r="J79" i="24" s="1"/>
  <c r="J80" i="24" s="1"/>
  <c r="J81" i="24" s="1"/>
  <c r="J82" i="24" s="1"/>
  <c r="J83" i="24" s="1"/>
  <c r="J84" i="24" s="1"/>
  <c r="J85" i="24" s="1"/>
  <c r="J86" i="24" s="1"/>
  <c r="J87" i="24" s="1"/>
  <c r="J88" i="24" s="1"/>
  <c r="J89" i="24" s="1"/>
  <c r="J90" i="24" s="1"/>
  <c r="J91" i="24" s="1"/>
  <c r="J92" i="24" s="1"/>
  <c r="J93" i="24" s="1"/>
  <c r="J94" i="24" s="1"/>
  <c r="J95" i="24" s="1"/>
  <c r="J96" i="24" s="1"/>
  <c r="J97" i="24" s="1"/>
  <c r="J98" i="24" s="1"/>
  <c r="J99" i="24" s="1"/>
  <c r="J100" i="24" s="1"/>
  <c r="J101" i="24" s="1"/>
  <c r="J102" i="24" s="1"/>
  <c r="J103" i="24" s="1"/>
  <c r="J104" i="24" s="1"/>
  <c r="J105" i="24" s="1"/>
  <c r="J106" i="24" s="1"/>
  <c r="J107" i="24" s="1"/>
  <c r="J108" i="24" s="1"/>
  <c r="J109" i="24" s="1"/>
  <c r="J110" i="24" s="1"/>
  <c r="J111" i="24" s="1"/>
  <c r="J112" i="24" s="1"/>
  <c r="J113" i="24" s="1"/>
  <c r="J114" i="24" s="1"/>
  <c r="J115" i="24" s="1"/>
  <c r="J116" i="24" s="1"/>
  <c r="J117" i="24" s="1"/>
  <c r="J118" i="24" s="1"/>
  <c r="J119" i="24" s="1"/>
  <c r="J120" i="24" s="1"/>
  <c r="J121" i="24" s="1"/>
  <c r="J3" i="31"/>
  <c r="J4" i="31" s="1"/>
  <c r="J5" i="31" s="1"/>
  <c r="J6" i="31" s="1"/>
  <c r="J7" i="31" s="1"/>
  <c r="J8" i="31" s="1"/>
  <c r="J9" i="31" s="1"/>
  <c r="J10" i="31" s="1"/>
  <c r="J11" i="31" s="1"/>
  <c r="J12" i="31" s="1"/>
  <c r="J13" i="31" s="1"/>
  <c r="J14" i="31" s="1"/>
  <c r="J15" i="31" s="1"/>
  <c r="J16" i="31" s="1"/>
  <c r="J17" i="31" s="1"/>
  <c r="J18" i="31" s="1"/>
  <c r="J19" i="31" s="1"/>
  <c r="J20" i="31" s="1"/>
  <c r="J21" i="31" s="1"/>
  <c r="J22" i="31" s="1"/>
  <c r="J23" i="31" s="1"/>
  <c r="J24" i="31" s="1"/>
  <c r="J25" i="31" s="1"/>
  <c r="J26" i="31" s="1"/>
  <c r="J27" i="31" s="1"/>
  <c r="J28" i="31" s="1"/>
  <c r="J29" i="31" s="1"/>
  <c r="J30" i="31" s="1"/>
  <c r="J31" i="31" s="1"/>
  <c r="J32" i="31" s="1"/>
  <c r="J33" i="31" s="1"/>
  <c r="J34" i="31" s="1"/>
  <c r="J35" i="31" s="1"/>
  <c r="J36" i="31" s="1"/>
  <c r="J37" i="31" s="1"/>
  <c r="J38" i="31" s="1"/>
  <c r="J39" i="31" s="1"/>
  <c r="J40" i="31" s="1"/>
  <c r="J41" i="31" s="1"/>
  <c r="J42" i="31" s="1"/>
  <c r="J43" i="31" s="1"/>
  <c r="J44" i="31" s="1"/>
  <c r="J45" i="31" s="1"/>
  <c r="J46" i="31" s="1"/>
  <c r="J47" i="31" s="1"/>
  <c r="J48" i="31" s="1"/>
  <c r="J49" i="31" s="1"/>
  <c r="J50" i="31" s="1"/>
  <c r="J51" i="31" s="1"/>
  <c r="J52" i="31" s="1"/>
  <c r="J53" i="31" s="1"/>
  <c r="J54" i="31" s="1"/>
  <c r="J55" i="31" s="1"/>
  <c r="J56" i="31" s="1"/>
  <c r="J57" i="31" s="1"/>
  <c r="J58" i="31" s="1"/>
  <c r="J59" i="31" s="1"/>
  <c r="J60" i="31" s="1"/>
  <c r="J61" i="31" s="1"/>
  <c r="J62" i="31" s="1"/>
  <c r="J63" i="31" s="1"/>
  <c r="J64" i="31" s="1"/>
  <c r="J65" i="31" s="1"/>
  <c r="J66" i="31" s="1"/>
  <c r="J67" i="31" s="1"/>
  <c r="J68" i="31" s="1"/>
  <c r="J69" i="31" s="1"/>
  <c r="J70" i="31" s="1"/>
  <c r="J71" i="31" s="1"/>
  <c r="J72" i="31" s="1"/>
  <c r="J73" i="31" s="1"/>
  <c r="J74" i="31" s="1"/>
  <c r="J75" i="31" s="1"/>
  <c r="J76" i="31" s="1"/>
  <c r="J77" i="31" s="1"/>
  <c r="J78" i="31" s="1"/>
  <c r="J79" i="31" s="1"/>
  <c r="J80" i="31" s="1"/>
  <c r="J81" i="31" s="1"/>
  <c r="J82" i="31" s="1"/>
  <c r="J83" i="31" s="1"/>
  <c r="J84" i="31" s="1"/>
  <c r="J85" i="31" s="1"/>
  <c r="J86" i="31" s="1"/>
  <c r="J87" i="31" s="1"/>
  <c r="J88" i="31" s="1"/>
  <c r="J89" i="31" s="1"/>
  <c r="J90" i="31" s="1"/>
  <c r="J91" i="31" s="1"/>
  <c r="J92" i="31" s="1"/>
  <c r="J93" i="31" s="1"/>
  <c r="J94" i="31" s="1"/>
  <c r="J95" i="31" s="1"/>
  <c r="J96" i="31" s="1"/>
  <c r="J97" i="31" s="1"/>
  <c r="J98" i="31" s="1"/>
  <c r="J99" i="31" s="1"/>
  <c r="J100" i="31" s="1"/>
  <c r="J101" i="31" s="1"/>
  <c r="J102" i="31" s="1"/>
  <c r="J103" i="31" s="1"/>
  <c r="J104" i="31" s="1"/>
  <c r="J105" i="31" s="1"/>
  <c r="J106" i="31" s="1"/>
  <c r="J107" i="31" s="1"/>
  <c r="J108" i="31" s="1"/>
  <c r="J109" i="31" s="1"/>
  <c r="J110" i="31" s="1"/>
  <c r="J111" i="31" s="1"/>
  <c r="J112" i="31" s="1"/>
  <c r="J113" i="31" s="1"/>
  <c r="J114" i="31" s="1"/>
  <c r="J115" i="31" s="1"/>
  <c r="J116" i="31" s="1"/>
  <c r="J117" i="31" s="1"/>
  <c r="J118" i="31" s="1"/>
  <c r="J119" i="31" s="1"/>
  <c r="J120" i="31" s="1"/>
  <c r="J121" i="31" s="1"/>
  <c r="I4" i="29"/>
  <c r="J4" i="29"/>
  <c r="K4" i="29"/>
  <c r="L4" i="29"/>
  <c r="M4" i="29"/>
  <c r="I5" i="29"/>
  <c r="J5" i="29"/>
  <c r="K5" i="29"/>
  <c r="L5" i="29"/>
  <c r="M5" i="29"/>
  <c r="I6" i="29"/>
  <c r="J6" i="29"/>
  <c r="K6" i="29"/>
  <c r="L6" i="29"/>
  <c r="M6" i="29"/>
  <c r="I7" i="29"/>
  <c r="J7" i="29"/>
  <c r="K7" i="29"/>
  <c r="L7" i="29"/>
  <c r="M7" i="29"/>
  <c r="J122" i="36" l="1"/>
  <c r="J122" i="35"/>
  <c r="J122" i="34"/>
  <c r="J122" i="33"/>
  <c r="J122" i="24"/>
  <c r="J122" i="31"/>
  <c r="P100" i="36"/>
  <c r="P99" i="36"/>
  <c r="Q100" i="35"/>
  <c r="Q99" i="35"/>
  <c r="Q100" i="34"/>
  <c r="Q99" i="34"/>
  <c r="Q99" i="33"/>
  <c r="Q98" i="33"/>
  <c r="Q103" i="35" a="1"/>
  <c r="Q103" i="34" a="1"/>
  <c r="Q102" i="33" a="1"/>
  <c r="P103" i="36" a="1"/>
  <c r="P103" i="36" l="1"/>
  <c r="K122" i="36" s="1"/>
  <c r="K121" i="36" s="1"/>
  <c r="K120" i="36" s="1"/>
  <c r="K119" i="36" s="1"/>
  <c r="K118" i="36" s="1"/>
  <c r="K117" i="36" s="1"/>
  <c r="K116" i="36" s="1"/>
  <c r="K115" i="36" s="1"/>
  <c r="K114" i="36" s="1"/>
  <c r="K113" i="36" s="1"/>
  <c r="K112" i="36" s="1"/>
  <c r="K111" i="36" s="1"/>
  <c r="K110" i="36" s="1"/>
  <c r="K109" i="36" s="1"/>
  <c r="K108" i="36" s="1"/>
  <c r="K107" i="36" s="1"/>
  <c r="K106" i="36" s="1"/>
  <c r="K105" i="36" s="1"/>
  <c r="K104" i="36" s="1"/>
  <c r="K103" i="36" s="1"/>
  <c r="K102" i="36" s="1"/>
  <c r="Q103" i="35"/>
  <c r="K122" i="35" s="1"/>
  <c r="K121" i="35" s="1"/>
  <c r="K120" i="35" s="1"/>
  <c r="K119" i="35" s="1"/>
  <c r="K118" i="35" s="1"/>
  <c r="K117" i="35" s="1"/>
  <c r="K116" i="35" s="1"/>
  <c r="K115" i="35" s="1"/>
  <c r="K114" i="35" s="1"/>
  <c r="K113" i="35" s="1"/>
  <c r="K112" i="35" s="1"/>
  <c r="K111" i="35" s="1"/>
  <c r="K110" i="35" s="1"/>
  <c r="K109" i="35" s="1"/>
  <c r="K108" i="35" s="1"/>
  <c r="K107" i="35" s="1"/>
  <c r="K106" i="35" s="1"/>
  <c r="K105" i="35" s="1"/>
  <c r="K104" i="35" s="1"/>
  <c r="K103" i="35" s="1"/>
  <c r="K102" i="35" s="1"/>
  <c r="Q103" i="34"/>
  <c r="K122" i="34" s="1"/>
  <c r="K121" i="34" s="1"/>
  <c r="K120" i="34" s="1"/>
  <c r="K119" i="34" s="1"/>
  <c r="K118" i="34" s="1"/>
  <c r="K117" i="34" s="1"/>
  <c r="K116" i="34" s="1"/>
  <c r="K115" i="34" s="1"/>
  <c r="K114" i="34" s="1"/>
  <c r="K113" i="34" s="1"/>
  <c r="K112" i="34" s="1"/>
  <c r="K111" i="34" s="1"/>
  <c r="K110" i="34" s="1"/>
  <c r="K109" i="34" s="1"/>
  <c r="K108" i="34" s="1"/>
  <c r="K107" i="34" s="1"/>
  <c r="K106" i="34" s="1"/>
  <c r="K105" i="34" s="1"/>
  <c r="K104" i="34" s="1"/>
  <c r="K103" i="34" s="1"/>
  <c r="K102" i="34" s="1"/>
  <c r="Q102" i="33"/>
  <c r="K122" i="33" s="1"/>
  <c r="K121" i="33" s="1"/>
  <c r="K120" i="33" s="1"/>
  <c r="K119" i="33" s="1"/>
  <c r="K118" i="33" s="1"/>
  <c r="K117" i="33" s="1"/>
  <c r="K116" i="33" s="1"/>
  <c r="K115" i="33" s="1"/>
  <c r="K114" i="33" s="1"/>
  <c r="K113" i="33" s="1"/>
  <c r="K112" i="33" s="1"/>
  <c r="K111" i="33" s="1"/>
  <c r="K110" i="33" s="1"/>
  <c r="K109" i="33" s="1"/>
  <c r="K108" i="33" s="1"/>
  <c r="K107" i="33" s="1"/>
  <c r="K106" i="33" s="1"/>
  <c r="K105" i="33" s="1"/>
  <c r="K104" i="33" s="1"/>
  <c r="K103" i="33" s="1"/>
  <c r="K102" i="33" s="1"/>
  <c r="P89" i="24" a="1"/>
  <c r="P89" i="24" l="1"/>
  <c r="Q102" i="34" a="1"/>
  <c r="Q101" i="33" a="1"/>
  <c r="P90" i="24" a="1"/>
  <c r="P102" i="36" a="1"/>
  <c r="Q102" i="35" a="1"/>
  <c r="P90" i="24" l="1"/>
  <c r="K122" i="24" s="1"/>
  <c r="K121" i="24" s="1"/>
  <c r="K120" i="24" s="1"/>
  <c r="K119" i="24" s="1"/>
  <c r="K118" i="24" s="1"/>
  <c r="K117" i="24" s="1"/>
  <c r="K116" i="24" s="1"/>
  <c r="K115" i="24" s="1"/>
  <c r="K114" i="24" s="1"/>
  <c r="K113" i="24" s="1"/>
  <c r="K112" i="24" s="1"/>
  <c r="K111" i="24" s="1"/>
  <c r="K110" i="24" s="1"/>
  <c r="K109" i="24" s="1"/>
  <c r="K108" i="24" s="1"/>
  <c r="K107" i="24" s="1"/>
  <c r="K106" i="24" s="1"/>
  <c r="K105" i="24" s="1"/>
  <c r="K104" i="24" s="1"/>
  <c r="K103" i="24" s="1"/>
  <c r="K102" i="24" s="1"/>
  <c r="P102" i="36"/>
  <c r="M102" i="36" s="1"/>
  <c r="K101" i="36" s="1"/>
  <c r="K100" i="36" s="1"/>
  <c r="K99" i="36" s="1"/>
  <c r="K98" i="36" s="1"/>
  <c r="K97" i="36" s="1"/>
  <c r="K96" i="36" s="1"/>
  <c r="K95" i="36" s="1"/>
  <c r="K94" i="36" s="1"/>
  <c r="K93" i="36" s="1"/>
  <c r="K92" i="36" s="1"/>
  <c r="K91" i="36" s="1"/>
  <c r="K90" i="36" s="1"/>
  <c r="K89" i="36" s="1"/>
  <c r="K88" i="36" s="1"/>
  <c r="K87" i="36" s="1"/>
  <c r="K86" i="36" s="1"/>
  <c r="K85" i="36" s="1"/>
  <c r="K84" i="36" s="1"/>
  <c r="K83" i="36" s="1"/>
  <c r="K82" i="36" s="1"/>
  <c r="K81" i="36" s="1"/>
  <c r="K80" i="36" s="1"/>
  <c r="K79" i="36" s="1"/>
  <c r="K78" i="36" s="1"/>
  <c r="K77" i="36" s="1"/>
  <c r="K76" i="36" s="1"/>
  <c r="K75" i="36" s="1"/>
  <c r="K74" i="36" s="1"/>
  <c r="K73" i="36" s="1"/>
  <c r="K72" i="36" s="1"/>
  <c r="K71" i="36" s="1"/>
  <c r="K70" i="36" s="1"/>
  <c r="K69" i="36" s="1"/>
  <c r="K68" i="36" s="1"/>
  <c r="K67" i="36" s="1"/>
  <c r="K66" i="36" s="1"/>
  <c r="K65" i="36" s="1"/>
  <c r="K64" i="36" s="1"/>
  <c r="K63" i="36" s="1"/>
  <c r="K62" i="36" s="1"/>
  <c r="K61" i="36" s="1"/>
  <c r="K60" i="36" s="1"/>
  <c r="K59" i="36" s="1"/>
  <c r="K58" i="36" s="1"/>
  <c r="K57" i="36" s="1"/>
  <c r="K56" i="36" s="1"/>
  <c r="K55" i="36" s="1"/>
  <c r="K54" i="36" s="1"/>
  <c r="K53" i="36" s="1"/>
  <c r="K52" i="36" s="1"/>
  <c r="K51" i="36" s="1"/>
  <c r="K50" i="36" s="1"/>
  <c r="K49" i="36" s="1"/>
  <c r="K48" i="36" s="1"/>
  <c r="K47" i="36" s="1"/>
  <c r="K46" i="36" s="1"/>
  <c r="K45" i="36" s="1"/>
  <c r="K44" i="36" s="1"/>
  <c r="K43" i="36" s="1"/>
  <c r="K42" i="36" s="1"/>
  <c r="K41" i="36" s="1"/>
  <c r="K40" i="36" s="1"/>
  <c r="K39" i="36" s="1"/>
  <c r="K38" i="36" s="1"/>
  <c r="K37" i="36" s="1"/>
  <c r="K36" i="36" s="1"/>
  <c r="K35" i="36" s="1"/>
  <c r="K34" i="36" s="1"/>
  <c r="K33" i="36" s="1"/>
  <c r="K32" i="36" s="1"/>
  <c r="K31" i="36" s="1"/>
  <c r="K30" i="36" s="1"/>
  <c r="K29" i="36" s="1"/>
  <c r="K28" i="36" s="1"/>
  <c r="K27" i="36" s="1"/>
  <c r="K26" i="36" s="1"/>
  <c r="K25" i="36" s="1"/>
  <c r="K24" i="36" s="1"/>
  <c r="K23" i="36" s="1"/>
  <c r="K22" i="36" s="1"/>
  <c r="K21" i="36" s="1"/>
  <c r="K20" i="36" s="1"/>
  <c r="K19" i="36" s="1"/>
  <c r="K18" i="36" s="1"/>
  <c r="K17" i="36" s="1"/>
  <c r="K16" i="36" s="1"/>
  <c r="K15" i="36" s="1"/>
  <c r="K14" i="36" s="1"/>
  <c r="K13" i="36" s="1"/>
  <c r="K12" i="36" s="1"/>
  <c r="K11" i="36" s="1"/>
  <c r="K10" i="36" s="1"/>
  <c r="K9" i="36" s="1"/>
  <c r="K8" i="36" s="1"/>
  <c r="K7" i="36" s="1"/>
  <c r="K6" i="36" s="1"/>
  <c r="K5" i="36" s="1"/>
  <c r="K4" i="36" s="1"/>
  <c r="K3" i="36" s="1"/>
  <c r="K2" i="36" s="1"/>
  <c r="Q102" i="35"/>
  <c r="Q102" i="34"/>
  <c r="M102" i="34" s="1"/>
  <c r="K101" i="34" s="1"/>
  <c r="K100" i="34" s="1"/>
  <c r="K99" i="34" s="1"/>
  <c r="K98" i="34" s="1"/>
  <c r="K97" i="34" s="1"/>
  <c r="K96" i="34" s="1"/>
  <c r="K95" i="34" s="1"/>
  <c r="K94" i="34" s="1"/>
  <c r="K93" i="34" s="1"/>
  <c r="K92" i="34" s="1"/>
  <c r="K91" i="34" s="1"/>
  <c r="K90" i="34" s="1"/>
  <c r="K89" i="34" s="1"/>
  <c r="K88" i="34" s="1"/>
  <c r="K87" i="34" s="1"/>
  <c r="K86" i="34" s="1"/>
  <c r="K85" i="34" s="1"/>
  <c r="K84" i="34" s="1"/>
  <c r="K83" i="34" s="1"/>
  <c r="K82" i="34" s="1"/>
  <c r="K81" i="34" s="1"/>
  <c r="K80" i="34" s="1"/>
  <c r="K79" i="34" s="1"/>
  <c r="K78" i="34" s="1"/>
  <c r="K77" i="34" s="1"/>
  <c r="K76" i="34" s="1"/>
  <c r="K75" i="34" s="1"/>
  <c r="K74" i="34" s="1"/>
  <c r="K73" i="34" s="1"/>
  <c r="K72" i="34" s="1"/>
  <c r="K71" i="34" s="1"/>
  <c r="K70" i="34" s="1"/>
  <c r="K69" i="34" s="1"/>
  <c r="K68" i="34" s="1"/>
  <c r="K67" i="34" s="1"/>
  <c r="K66" i="34" s="1"/>
  <c r="K65" i="34" s="1"/>
  <c r="K64" i="34" s="1"/>
  <c r="K63" i="34" s="1"/>
  <c r="K62" i="34" s="1"/>
  <c r="K61" i="34" s="1"/>
  <c r="K60" i="34" s="1"/>
  <c r="K59" i="34" s="1"/>
  <c r="K58" i="34" s="1"/>
  <c r="K57" i="34" s="1"/>
  <c r="K56" i="34" s="1"/>
  <c r="K55" i="34" s="1"/>
  <c r="K54" i="34" s="1"/>
  <c r="K53" i="34" s="1"/>
  <c r="K52" i="34" s="1"/>
  <c r="K51" i="34" s="1"/>
  <c r="K50" i="34" s="1"/>
  <c r="K49" i="34" s="1"/>
  <c r="K48" i="34" s="1"/>
  <c r="K47" i="34" s="1"/>
  <c r="K46" i="34" s="1"/>
  <c r="K45" i="34" s="1"/>
  <c r="K44" i="34" s="1"/>
  <c r="K43" i="34" s="1"/>
  <c r="K42" i="34" s="1"/>
  <c r="K41" i="34" s="1"/>
  <c r="K40" i="34" s="1"/>
  <c r="K39" i="34" s="1"/>
  <c r="K38" i="34" s="1"/>
  <c r="K37" i="34" s="1"/>
  <c r="K36" i="34" s="1"/>
  <c r="K35" i="34" s="1"/>
  <c r="K34" i="34" s="1"/>
  <c r="K33" i="34" s="1"/>
  <c r="K32" i="34" s="1"/>
  <c r="K31" i="34" s="1"/>
  <c r="K30" i="34" s="1"/>
  <c r="K29" i="34" s="1"/>
  <c r="K28" i="34" s="1"/>
  <c r="K27" i="34" s="1"/>
  <c r="K26" i="34" s="1"/>
  <c r="K25" i="34" s="1"/>
  <c r="K24" i="34" s="1"/>
  <c r="K23" i="34" s="1"/>
  <c r="K22" i="34" s="1"/>
  <c r="K21" i="34" s="1"/>
  <c r="K20" i="34" s="1"/>
  <c r="K19" i="34" s="1"/>
  <c r="K18" i="34" s="1"/>
  <c r="K17" i="34" s="1"/>
  <c r="K16" i="34" s="1"/>
  <c r="K15" i="34" s="1"/>
  <c r="K14" i="34" s="1"/>
  <c r="K13" i="34" s="1"/>
  <c r="K12" i="34" s="1"/>
  <c r="K11" i="34" s="1"/>
  <c r="K10" i="34" s="1"/>
  <c r="K9" i="34" s="1"/>
  <c r="K8" i="34" s="1"/>
  <c r="K7" i="34" s="1"/>
  <c r="K6" i="34" s="1"/>
  <c r="K5" i="34" s="1"/>
  <c r="K4" i="34" s="1"/>
  <c r="K3" i="34" s="1"/>
  <c r="K2" i="34" s="1"/>
  <c r="Q101" i="33"/>
  <c r="M102" i="33" s="1"/>
  <c r="K101" i="33" s="1"/>
  <c r="K100" i="33" s="1"/>
  <c r="K99" i="33" s="1"/>
  <c r="K98" i="33" s="1"/>
  <c r="K97" i="33" s="1"/>
  <c r="K96" i="33" s="1"/>
  <c r="K95" i="33" s="1"/>
  <c r="K94" i="33" s="1"/>
  <c r="K93" i="33" s="1"/>
  <c r="K92" i="33" s="1"/>
  <c r="K91" i="33" s="1"/>
  <c r="K90" i="33" s="1"/>
  <c r="K89" i="33" s="1"/>
  <c r="K88" i="33" s="1"/>
  <c r="K87" i="33" s="1"/>
  <c r="K86" i="33" s="1"/>
  <c r="K85" i="33" s="1"/>
  <c r="K84" i="33" s="1"/>
  <c r="K83" i="33" s="1"/>
  <c r="K82" i="33" s="1"/>
  <c r="K81" i="33" s="1"/>
  <c r="K80" i="33" s="1"/>
  <c r="K79" i="33" s="1"/>
  <c r="K78" i="33" s="1"/>
  <c r="K77" i="33" s="1"/>
  <c r="K76" i="33" s="1"/>
  <c r="K75" i="33" s="1"/>
  <c r="K74" i="33" s="1"/>
  <c r="K73" i="33" s="1"/>
  <c r="K72" i="33" s="1"/>
  <c r="K71" i="33" s="1"/>
  <c r="K70" i="33" s="1"/>
  <c r="K69" i="33" s="1"/>
  <c r="K68" i="33" s="1"/>
  <c r="K67" i="33" s="1"/>
  <c r="K66" i="33" s="1"/>
  <c r="K65" i="33" s="1"/>
  <c r="K64" i="33" s="1"/>
  <c r="K63" i="33" s="1"/>
  <c r="K62" i="33" s="1"/>
  <c r="K61" i="33" s="1"/>
  <c r="K60" i="33" s="1"/>
  <c r="K59" i="33" s="1"/>
  <c r="K58" i="33" s="1"/>
  <c r="K57" i="33" s="1"/>
  <c r="K56" i="33" s="1"/>
  <c r="K55" i="33" s="1"/>
  <c r="K54" i="33" s="1"/>
  <c r="K53" i="33" s="1"/>
  <c r="K52" i="33" s="1"/>
  <c r="K51" i="33" s="1"/>
  <c r="K50" i="33" s="1"/>
  <c r="K49" i="33" s="1"/>
  <c r="K48" i="33" s="1"/>
  <c r="K47" i="33" s="1"/>
  <c r="K46" i="33" s="1"/>
  <c r="K45" i="33" s="1"/>
  <c r="K44" i="33" s="1"/>
  <c r="K43" i="33" s="1"/>
  <c r="K42" i="33" s="1"/>
  <c r="K41" i="33" s="1"/>
  <c r="K40" i="33" s="1"/>
  <c r="K39" i="33" s="1"/>
  <c r="K38" i="33" s="1"/>
  <c r="K37" i="33" s="1"/>
  <c r="K36" i="33" s="1"/>
  <c r="K35" i="33" s="1"/>
  <c r="K34" i="33" s="1"/>
  <c r="K33" i="33" s="1"/>
  <c r="K32" i="33" s="1"/>
  <c r="K31" i="33" s="1"/>
  <c r="K30" i="33" s="1"/>
  <c r="K29" i="33" s="1"/>
  <c r="K28" i="33" s="1"/>
  <c r="K27" i="33" s="1"/>
  <c r="K26" i="33" s="1"/>
  <c r="K25" i="33" s="1"/>
  <c r="K24" i="33" s="1"/>
  <c r="K23" i="33" s="1"/>
  <c r="K22" i="33" s="1"/>
  <c r="K21" i="33" s="1"/>
  <c r="K20" i="33" s="1"/>
  <c r="K19" i="33" s="1"/>
  <c r="K18" i="33" s="1"/>
  <c r="K17" i="33" s="1"/>
  <c r="K16" i="33" s="1"/>
  <c r="K15" i="33" s="1"/>
  <c r="K14" i="33" s="1"/>
  <c r="K13" i="33" s="1"/>
  <c r="K12" i="33" s="1"/>
  <c r="K11" i="33" s="1"/>
  <c r="K10" i="33" s="1"/>
  <c r="K9" i="33" s="1"/>
  <c r="K8" i="33" s="1"/>
  <c r="K7" i="33" s="1"/>
  <c r="K6" i="33" s="1"/>
  <c r="K5" i="33" s="1"/>
  <c r="K4" i="33" s="1"/>
  <c r="K3" i="33" s="1"/>
  <c r="K2" i="33" s="1"/>
  <c r="M102" i="24"/>
  <c r="K101" i="24" s="1"/>
  <c r="K100" i="24" s="1"/>
  <c r="K99" i="24" s="1"/>
  <c r="K98" i="24" s="1"/>
  <c r="K97" i="24" s="1"/>
  <c r="K96" i="24" s="1"/>
  <c r="K95" i="24" s="1"/>
  <c r="K94" i="24" s="1"/>
  <c r="K93" i="24" s="1"/>
  <c r="K92" i="24" s="1"/>
  <c r="K91" i="24" s="1"/>
  <c r="K90" i="24" s="1"/>
  <c r="K89" i="24" s="1"/>
  <c r="K88" i="24" s="1"/>
  <c r="K87" i="24" s="1"/>
  <c r="K86" i="24" s="1"/>
  <c r="K85" i="24" s="1"/>
  <c r="K84" i="24" s="1"/>
  <c r="K83" i="24" s="1"/>
  <c r="K82" i="24" s="1"/>
  <c r="K81" i="24" s="1"/>
  <c r="K80" i="24" s="1"/>
  <c r="K79" i="24" s="1"/>
  <c r="K78" i="24" s="1"/>
  <c r="K77" i="24" s="1"/>
  <c r="K76" i="24" s="1"/>
  <c r="K75" i="24" s="1"/>
  <c r="K74" i="24" s="1"/>
  <c r="K73" i="24" s="1"/>
  <c r="K72" i="24" s="1"/>
  <c r="K71" i="24" s="1"/>
  <c r="K70" i="24" s="1"/>
  <c r="K69" i="24" s="1"/>
  <c r="K68" i="24" s="1"/>
  <c r="K67" i="24" s="1"/>
  <c r="K66" i="24" s="1"/>
  <c r="K65" i="24" s="1"/>
  <c r="K64" i="24" s="1"/>
  <c r="K63" i="24" s="1"/>
  <c r="K62" i="24" s="1"/>
  <c r="K61" i="24" s="1"/>
  <c r="K60" i="24" s="1"/>
  <c r="K59" i="24" s="1"/>
  <c r="K58" i="24" s="1"/>
  <c r="K57" i="24" s="1"/>
  <c r="K56" i="24" s="1"/>
  <c r="K55" i="24" s="1"/>
  <c r="K54" i="24" s="1"/>
  <c r="K53" i="24" s="1"/>
  <c r="K52" i="24" s="1"/>
  <c r="K51" i="24" s="1"/>
  <c r="K50" i="24" s="1"/>
  <c r="K49" i="24" s="1"/>
  <c r="K48" i="24" s="1"/>
  <c r="K47" i="24" s="1"/>
  <c r="K46" i="24" s="1"/>
  <c r="K45" i="24" s="1"/>
  <c r="K44" i="24" s="1"/>
  <c r="K43" i="24" s="1"/>
  <c r="K42" i="24" s="1"/>
  <c r="K41" i="24" s="1"/>
  <c r="K40" i="24" s="1"/>
  <c r="K39" i="24" s="1"/>
  <c r="K38" i="24" s="1"/>
  <c r="K37" i="24" s="1"/>
  <c r="K36" i="24" s="1"/>
  <c r="K35" i="24" s="1"/>
  <c r="K34" i="24" s="1"/>
  <c r="K33" i="24" s="1"/>
  <c r="K32" i="24" s="1"/>
  <c r="K31" i="24" s="1"/>
  <c r="K30" i="24" s="1"/>
  <c r="K29" i="24" s="1"/>
  <c r="K28" i="24" s="1"/>
  <c r="K27" i="24" s="1"/>
  <c r="K26" i="24" s="1"/>
  <c r="K25" i="24" s="1"/>
  <c r="K24" i="24" s="1"/>
  <c r="K23" i="24" s="1"/>
  <c r="K22" i="24" s="1"/>
  <c r="K21" i="24" s="1"/>
  <c r="K20" i="24" s="1"/>
  <c r="K19" i="24" s="1"/>
  <c r="K18" i="24" s="1"/>
  <c r="K17" i="24" s="1"/>
  <c r="K16" i="24" s="1"/>
  <c r="K15" i="24" s="1"/>
  <c r="K14" i="24" s="1"/>
  <c r="K13" i="24" s="1"/>
  <c r="K12" i="24" s="1"/>
  <c r="K11" i="24" s="1"/>
  <c r="K10" i="24" s="1"/>
  <c r="K9" i="24" s="1"/>
  <c r="K8" i="24" s="1"/>
  <c r="K7" i="24" s="1"/>
  <c r="K6" i="24" s="1"/>
  <c r="K5" i="24" s="1"/>
  <c r="K4" i="24" s="1"/>
  <c r="K3" i="24" s="1"/>
  <c r="K2" i="24" s="1"/>
  <c r="M102" i="35" l="1"/>
  <c r="K101" i="35" s="1"/>
  <c r="K100" i="35" s="1"/>
  <c r="K99" i="35" s="1"/>
  <c r="K98" i="35" s="1"/>
  <c r="K97" i="35" s="1"/>
  <c r="K96" i="35" s="1"/>
  <c r="K95" i="35" s="1"/>
  <c r="K94" i="35" s="1"/>
  <c r="K93" i="35" s="1"/>
  <c r="K92" i="35" s="1"/>
  <c r="K91" i="35" s="1"/>
  <c r="K90" i="35" s="1"/>
  <c r="K89" i="35" s="1"/>
  <c r="K88" i="35" s="1"/>
  <c r="K87" i="35" s="1"/>
  <c r="K86" i="35" s="1"/>
  <c r="K85" i="35" s="1"/>
  <c r="K84" i="35" s="1"/>
  <c r="K83" i="35" s="1"/>
  <c r="K82" i="35" s="1"/>
  <c r="K81" i="35" s="1"/>
  <c r="K80" i="35" s="1"/>
  <c r="K79" i="35" s="1"/>
  <c r="K78" i="35" s="1"/>
  <c r="K77" i="35" s="1"/>
  <c r="K76" i="35" s="1"/>
  <c r="K75" i="35" s="1"/>
  <c r="K74" i="35" s="1"/>
  <c r="K73" i="35" s="1"/>
  <c r="K72" i="35" s="1"/>
  <c r="K71" i="35" s="1"/>
  <c r="K70" i="35" s="1"/>
  <c r="K69" i="35" s="1"/>
  <c r="K68" i="35" s="1"/>
  <c r="K67" i="35" s="1"/>
  <c r="K66" i="35" s="1"/>
  <c r="K65" i="35" s="1"/>
  <c r="K64" i="35" s="1"/>
  <c r="K63" i="35" s="1"/>
  <c r="K62" i="35" s="1"/>
  <c r="K61" i="35" s="1"/>
  <c r="K60" i="35" s="1"/>
  <c r="K59" i="35" s="1"/>
  <c r="K58" i="35" s="1"/>
  <c r="K57" i="35" s="1"/>
  <c r="K56" i="35" s="1"/>
  <c r="K55" i="35" s="1"/>
  <c r="K54" i="35" s="1"/>
  <c r="K53" i="35" s="1"/>
  <c r="K52" i="35" s="1"/>
  <c r="K51" i="35" s="1"/>
  <c r="K50" i="35" s="1"/>
  <c r="K49" i="35" s="1"/>
  <c r="K48" i="35" s="1"/>
  <c r="K47" i="35" s="1"/>
  <c r="K46" i="35" s="1"/>
  <c r="K45" i="35" s="1"/>
  <c r="K44" i="35" s="1"/>
  <c r="K43" i="35" s="1"/>
  <c r="K42" i="35" s="1"/>
  <c r="K41" i="35" s="1"/>
  <c r="K40" i="35" s="1"/>
  <c r="K39" i="35" s="1"/>
  <c r="K38" i="35" s="1"/>
  <c r="K37" i="35" s="1"/>
  <c r="K36" i="35" s="1"/>
  <c r="K35" i="35" s="1"/>
  <c r="K34" i="35" s="1"/>
  <c r="K33" i="35" s="1"/>
  <c r="K32" i="35" s="1"/>
  <c r="K31" i="35" s="1"/>
  <c r="K30" i="35" s="1"/>
  <c r="K29" i="35" s="1"/>
  <c r="K28" i="35" s="1"/>
  <c r="K27" i="35" s="1"/>
  <c r="K26" i="35" s="1"/>
  <c r="K25" i="35" s="1"/>
  <c r="K24" i="35" s="1"/>
  <c r="K23" i="35" s="1"/>
  <c r="K22" i="35" s="1"/>
  <c r="K21" i="35" s="1"/>
  <c r="K20" i="35" s="1"/>
  <c r="K19" i="35" s="1"/>
  <c r="K18" i="35" s="1"/>
  <c r="K17" i="35" s="1"/>
  <c r="K16" i="35" s="1"/>
  <c r="K15" i="35" s="1"/>
  <c r="K14" i="35" s="1"/>
  <c r="K13" i="35" s="1"/>
  <c r="K12" i="35" s="1"/>
  <c r="K11" i="35" s="1"/>
  <c r="K10" i="35" s="1"/>
  <c r="K9" i="35" s="1"/>
  <c r="K8" i="35" s="1"/>
  <c r="K7" i="35" s="1"/>
  <c r="K6" i="35" s="1"/>
  <c r="K5" i="35" s="1"/>
  <c r="K4" i="35" s="1"/>
  <c r="K3" i="35" s="1"/>
  <c r="K2" i="35" s="1"/>
  <c r="M122" i="36"/>
  <c r="M122" i="35"/>
  <c r="M122" i="34"/>
  <c r="M122" i="33"/>
  <c r="M122" i="24" l="1"/>
  <c r="M82" i="36"/>
  <c r="M82" i="35"/>
  <c r="M82" i="34"/>
  <c r="M82" i="33"/>
  <c r="M72" i="36" l="1"/>
  <c r="M72" i="35"/>
  <c r="M72" i="34"/>
  <c r="M72" i="33"/>
  <c r="M62" i="36" l="1"/>
  <c r="M62" i="35"/>
  <c r="M62" i="34"/>
  <c r="M62" i="33"/>
  <c r="M52" i="36" l="1"/>
  <c r="M52" i="35"/>
  <c r="M52" i="34"/>
  <c r="M52" i="33"/>
  <c r="M42" i="36" l="1"/>
  <c r="M42" i="35"/>
  <c r="M42" i="34"/>
  <c r="M42" i="33"/>
  <c r="M40" i="36" l="1"/>
  <c r="M40" i="35"/>
  <c r="M40" i="34"/>
  <c r="M40" i="33"/>
  <c r="M38" i="36" l="1"/>
  <c r="M38" i="35"/>
  <c r="M38" i="34"/>
  <c r="M38" i="33"/>
  <c r="M36" i="36" l="1"/>
  <c r="M36" i="35"/>
  <c r="M36" i="34"/>
  <c r="M36" i="33"/>
  <c r="M34" i="36" l="1"/>
  <c r="M34" i="35"/>
  <c r="M34" i="34"/>
  <c r="M34" i="33"/>
  <c r="M32" i="36" l="1"/>
  <c r="M32" i="35"/>
  <c r="M32" i="34"/>
  <c r="M32" i="33"/>
  <c r="M30" i="36" l="1"/>
  <c r="M30" i="35"/>
  <c r="M30" i="34"/>
  <c r="M30" i="33"/>
  <c r="M28" i="36" l="1"/>
  <c r="M28" i="35"/>
  <c r="M28" i="34"/>
  <c r="M28" i="33"/>
  <c r="M26" i="36" l="1"/>
  <c r="M26" i="35"/>
  <c r="M26" i="34"/>
  <c r="M26" i="33"/>
  <c r="M24" i="36" l="1"/>
  <c r="M24" i="35"/>
  <c r="M24" i="34"/>
  <c r="M24" i="33"/>
  <c r="M22" i="36" l="1"/>
  <c r="M22" i="35"/>
  <c r="M22" i="34"/>
  <c r="M22" i="33"/>
  <c r="M20" i="36" l="1"/>
  <c r="M20" i="35"/>
  <c r="M20" i="34"/>
  <c r="M20" i="33"/>
  <c r="M18" i="36" l="1"/>
  <c r="M18" i="35"/>
  <c r="M18" i="34"/>
  <c r="M18" i="33"/>
  <c r="M82" i="24" l="1"/>
  <c r="M16" i="36"/>
  <c r="M16" i="35"/>
  <c r="M16" i="34"/>
  <c r="M16" i="33"/>
  <c r="M72" i="24" l="1"/>
  <c r="M62" i="24"/>
  <c r="M14" i="36"/>
  <c r="M14" i="35"/>
  <c r="M14" i="34"/>
  <c r="M14" i="33"/>
  <c r="M52" i="24" l="1"/>
  <c r="M12" i="36"/>
  <c r="M12" i="35"/>
  <c r="M12" i="34"/>
  <c r="M12" i="33"/>
  <c r="M42" i="24" l="1"/>
  <c r="M10" i="36"/>
  <c r="M10" i="35"/>
  <c r="M10" i="34"/>
  <c r="M10" i="33"/>
  <c r="M40" i="24" l="1"/>
  <c r="M8" i="36"/>
  <c r="M8" i="35"/>
  <c r="M8" i="34"/>
  <c r="M8" i="33"/>
  <c r="M38" i="24" l="1"/>
  <c r="M6" i="36"/>
  <c r="M6" i="35"/>
  <c r="M6" i="34"/>
  <c r="M6" i="33"/>
  <c r="M36" i="24" l="1"/>
  <c r="M5" i="36"/>
  <c r="M5" i="35"/>
  <c r="M5" i="34"/>
  <c r="M5" i="33"/>
  <c r="M34" i="24" l="1"/>
  <c r="M4" i="36"/>
  <c r="M4" i="35"/>
  <c r="M4" i="34"/>
  <c r="M4" i="33"/>
  <c r="M32" i="24" l="1"/>
  <c r="M3" i="36"/>
  <c r="M3" i="35"/>
  <c r="M3" i="34"/>
  <c r="M3" i="33"/>
  <c r="M30" i="24" l="1"/>
  <c r="M28" i="24" l="1"/>
  <c r="M26" i="24" l="1"/>
  <c r="M24" i="24" l="1"/>
  <c r="M22" i="24" l="1"/>
  <c r="M20" i="24" l="1"/>
  <c r="M18" i="24" l="1"/>
  <c r="M16" i="24" l="1"/>
  <c r="M14" i="24" l="1"/>
  <c r="M12" i="24" l="1"/>
  <c r="M10" i="24" l="1"/>
  <c r="M8" i="24" l="1"/>
  <c r="M6" i="24" l="1"/>
  <c r="M5" i="24" l="1"/>
  <c r="M4" i="24" l="1"/>
  <c r="M3" i="2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<sst xmlns="http://schemas.openxmlformats.org/spreadsheetml/2006/main" count="84" uniqueCount="25">
  <si>
    <t>Time</t>
  </si>
  <si>
    <t>Maturity</t>
  </si>
  <si>
    <t>Pc</t>
  </si>
  <si>
    <t>P6m</t>
  </si>
  <si>
    <t>TauL</t>
  </si>
  <si>
    <t>TauK</t>
  </si>
  <si>
    <t>AcK</t>
  </si>
  <si>
    <t>J</t>
  </si>
  <si>
    <t>SSP119</t>
  </si>
  <si>
    <t>SSP126</t>
  </si>
  <si>
    <t>SSP245</t>
  </si>
  <si>
    <t>SSP370</t>
  </si>
  <si>
    <t>SSP585</t>
  </si>
  <si>
    <t>PSSP119</t>
  </si>
  <si>
    <t>PSSP126</t>
  </si>
  <si>
    <t>PSSP245</t>
  </si>
  <si>
    <t>PSSP370</t>
  </si>
  <si>
    <t>PSSP585</t>
  </si>
  <si>
    <t>P6 shifted</t>
  </si>
  <si>
    <t>Nodes</t>
  </si>
  <si>
    <t>Pc(0,spot)</t>
  </si>
  <si>
    <t>Fwd</t>
  </si>
  <si>
    <t>Rates</t>
  </si>
  <si>
    <t>Original</t>
  </si>
  <si>
    <t>Soriginal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</si>
</sst>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0.0000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2" fillId="0" borderId="0" xfId="0" applyFont="1" applyAlignment="1">
      <alignment vertical="center"/>
    </xf>
    <xf numFmtId="14" fontId="0" fillId="0" borderId="0" xfId="0" applyNumberFormat="1"/>
    <xf numFmtId="0" fontId="1" fillId="0" borderId="5" xfId="0" applyFont="1" applyBorder="1"/>
    <xf numFmtId="0" fontId="1" fillId="0" borderId="4" xfId="0" applyFont="1" applyBorder="1"/>
    <xf numFmtId="0" fontId="1" fillId="0" borderId="5" xfId="0" applyFont="1" applyBorder="1" applyAlignment="1">
      <alignment horizontal="center" vertical="top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 vertical="top"/>
    </xf>
    <xf numFmtId="0" fontId="0" fillId="0" borderId="6" xfId="0" applyBorder="1"/>
    <xf numFmtId="0" fontId="0" fillId="0" borderId="7" xfId="0" applyBorder="1"/>
    <xf numFmtId="0" fontId="2" fillId="0" borderId="6" xfId="0" applyFont="1" applyBorder="1" applyAlignment="1">
      <alignment vertical="center"/>
    </xf>
    <xf numFmtId="170" fontId="0" fillId="0" borderId="0" xfId="0" applyNumberFormat="1"/>
    <xf numFmtId="170" fontId="2" fillId="0" borderId="0" xfId="0" applyNumberFormat="1" applyFont="1" applyAlignment="1">
      <alignment vertical="center"/>
    </xf>
    <xf numFmtId="170" fontId="2" fillId="0" borderId="6" xfId="0" applyNumberFormat="1" applyFont="1" applyBorder="1" applyAlignment="1">
      <alignment vertical="center"/>
    </xf>
    <xf numFmtId="170" fontId="0" fillId="0" borderId="6" xfId="0" applyNumberFormat="1" applyBorder="1"/>
    <xf numFmtId="170" fontId="0" fillId="0" borderId="3" xfId="0" applyNumberForma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E35C7-CB4E-465E-AF04-269CAAA527BB}">
  <sheetPr codeName="Sheet2"/>
  <dimension ref="A1:J122"/>
  <sheetViews>
    <sheetView zoomScaleNormal="100" workbookViewId="0">
      <pane ySplit="1" topLeftCell="A2" activePane="bottomLeft" state="frozen"/>
      <selection pane="bottomLeft" activeCell="N12" sqref="N12"/>
    </sheetView>
  </sheetViews>
  <sheetFormatPr defaultRowHeight="14.4"/>
  <cols>
    <col min="2" max="2" width="10.5546875" bestFit="1" customWidth="1"/>
  </cols>
  <sheetData>
    <row r="1" spans="1:10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1" t="s">
        <v>5</v>
      </c>
      <c r="I1" s="2" t="s">
        <v>6</v>
      </c>
      <c r="J1" s="2" t="s">
        <v>7</v>
      </c>
    </row>
    <row r="2" spans="1:10">
      <c r="A2" s="8">
        <v>0</v>
      </c>
      <c r="B2" s="4">
        <v>44754</v>
      </c>
      <c r="D2">
        <v>1</v>
      </c>
      <c r="E2">
        <v>0</v>
      </c>
      <c r="F2">
        <v>0</v>
      </c>
      <c r="H2" s="4"/>
    </row>
    <row r="3" spans="1:10">
      <c r="A3">
        <v>0.5</v>
      </c>
      <c r="B3" s="4">
        <v>44938</v>
      </c>
      <c r="C3">
        <v>0.99904288423151055</v>
      </c>
      <c r="D3">
        <v>0.99801063213993446</v>
      </c>
      <c r="E3">
        <v>3.89999999999991E-3</v>
      </c>
      <c r="F3">
        <v>0.51111111111111107</v>
      </c>
      <c r="G3">
        <v>0.39</v>
      </c>
      <c r="J3">
        <f>E3*F3*C3</f>
        <v>1.9914254825680981E-3</v>
      </c>
    </row>
    <row r="4" spans="1:10">
      <c r="A4">
        <v>1</v>
      </c>
      <c r="B4" s="4">
        <v>45119</v>
      </c>
      <c r="C4">
        <v>0.99324592130854139</v>
      </c>
      <c r="D4">
        <v>0.99104474380986662</v>
      </c>
      <c r="E4">
        <v>1.3979999999904E-2</v>
      </c>
      <c r="F4">
        <v>0.50277777777777777</v>
      </c>
      <c r="G4">
        <v>1.3979999999999999</v>
      </c>
      <c r="H4">
        <v>1</v>
      </c>
      <c r="I4">
        <v>0.99324592130854139</v>
      </c>
      <c r="J4">
        <f t="shared" ref="J4:J35" si="0">J3+(E4*F4*C4)</f>
        <v>8.9727855224110108E-3</v>
      </c>
    </row>
    <row r="5" spans="1:10">
      <c r="A5">
        <v>1.5</v>
      </c>
      <c r="B5" s="4">
        <v>45303</v>
      </c>
      <c r="C5">
        <v>0.9860284425870447</v>
      </c>
      <c r="D5">
        <v>0.98259746260138792</v>
      </c>
      <c r="E5">
        <v>1.6819999999980999E-2</v>
      </c>
      <c r="F5">
        <v>0.51111111111111107</v>
      </c>
      <c r="G5">
        <v>1.6819999999999999</v>
      </c>
      <c r="J5">
        <f t="shared" si="0"/>
        <v>1.7449562484606416E-2</v>
      </c>
    </row>
    <row r="6" spans="1:10">
      <c r="A6">
        <v>2</v>
      </c>
      <c r="B6" s="4">
        <v>45485</v>
      </c>
      <c r="C6">
        <v>0.97878176388692029</v>
      </c>
      <c r="D6">
        <v>0.97444692296927427</v>
      </c>
      <c r="E6">
        <v>1.6544714899334002E-2</v>
      </c>
      <c r="F6">
        <v>0.50555555555555554</v>
      </c>
      <c r="G6">
        <v>1.3</v>
      </c>
      <c r="H6">
        <v>1</v>
      </c>
      <c r="I6">
        <v>1.9720276851954619</v>
      </c>
      <c r="J6">
        <f t="shared" si="0"/>
        <v>2.5636359907540013E-2</v>
      </c>
    </row>
    <row r="7" spans="1:10">
      <c r="A7">
        <v>2.5</v>
      </c>
      <c r="B7" s="4">
        <v>45670</v>
      </c>
      <c r="C7">
        <v>0.9715063307647499</v>
      </c>
      <c r="D7">
        <v>0.96605078949251333</v>
      </c>
      <c r="E7">
        <v>1.69125910132602E-2</v>
      </c>
      <c r="F7">
        <v>0.51388888888888884</v>
      </c>
      <c r="J7">
        <f t="shared" si="0"/>
        <v>3.4079908544257236E-2</v>
      </c>
    </row>
    <row r="8" spans="1:10">
      <c r="A8">
        <v>3</v>
      </c>
      <c r="B8" s="4">
        <v>45852</v>
      </c>
      <c r="C8">
        <v>0.96404622206233692</v>
      </c>
      <c r="D8">
        <v>0.95729638500968794</v>
      </c>
      <c r="E8">
        <v>1.8088864371244101E-2</v>
      </c>
      <c r="F8">
        <v>0.50555555555555554</v>
      </c>
      <c r="G8">
        <v>1.4610000000000001</v>
      </c>
      <c r="H8">
        <v>1.005555555555556</v>
      </c>
      <c r="I8">
        <v>2.9414297196025889</v>
      </c>
      <c r="J8">
        <f t="shared" si="0"/>
        <v>4.2896039786607928E-2</v>
      </c>
    </row>
    <row r="9" spans="1:10">
      <c r="A9">
        <v>3.5</v>
      </c>
      <c r="B9" s="4">
        <v>46034</v>
      </c>
      <c r="C9">
        <v>0.95592389246503651</v>
      </c>
      <c r="D9">
        <v>0.94796491452005915</v>
      </c>
      <c r="E9">
        <v>1.9479741902559099E-2</v>
      </c>
      <c r="F9">
        <v>0.50555555555555554</v>
      </c>
      <c r="J9">
        <f t="shared" si="0"/>
        <v>5.2310065975705033E-2</v>
      </c>
    </row>
    <row r="10" spans="1:10">
      <c r="A10">
        <v>4</v>
      </c>
      <c r="B10" s="4">
        <v>46216</v>
      </c>
      <c r="C10">
        <v>0.94713494159022615</v>
      </c>
      <c r="D10">
        <v>0.93807952562658103</v>
      </c>
      <c r="E10">
        <v>2.0844199194661701E-2</v>
      </c>
      <c r="F10">
        <v>0.50555555555555554</v>
      </c>
      <c r="G10">
        <v>1.6040000000000001</v>
      </c>
      <c r="H10">
        <v>0.99722222222222223</v>
      </c>
      <c r="I10">
        <v>3.885933730799509</v>
      </c>
      <c r="J10">
        <f t="shared" si="0"/>
        <v>6.2290879943441235E-2</v>
      </c>
    </row>
    <row r="11" spans="1:10">
      <c r="A11">
        <v>4.5</v>
      </c>
      <c r="B11" s="4">
        <v>46399</v>
      </c>
      <c r="C11">
        <v>0.9377546742182391</v>
      </c>
      <c r="D11">
        <v>0.92766793341618325</v>
      </c>
      <c r="E11">
        <v>2.2082122249332401E-2</v>
      </c>
      <c r="F11">
        <v>0.5083333333333333</v>
      </c>
      <c r="J11">
        <f t="shared" si="0"/>
        <v>7.2817250066059339E-2</v>
      </c>
    </row>
    <row r="12" spans="1:10">
      <c r="A12">
        <v>5</v>
      </c>
      <c r="B12" s="4">
        <v>46580</v>
      </c>
      <c r="C12">
        <v>0.92824283734542401</v>
      </c>
      <c r="D12">
        <v>0.91712844122432902</v>
      </c>
      <c r="E12">
        <v>2.2856695926326401E-2</v>
      </c>
      <c r="F12">
        <v>0.50277777777777777</v>
      </c>
      <c r="G12">
        <v>1.7350000000000001</v>
      </c>
      <c r="H12">
        <v>0.99722222222222223</v>
      </c>
      <c r="I12">
        <v>4.811598115818974</v>
      </c>
      <c r="J12">
        <f t="shared" si="0"/>
        <v>8.3484467106331728E-2</v>
      </c>
    </row>
    <row r="13" spans="1:10">
      <c r="A13">
        <v>5.5</v>
      </c>
      <c r="B13" s="4">
        <v>46764</v>
      </c>
      <c r="C13">
        <v>0.9185963965955859</v>
      </c>
      <c r="D13">
        <v>0.90637502877283138</v>
      </c>
      <c r="E13">
        <v>2.3212560544255901E-2</v>
      </c>
      <c r="F13">
        <v>0.51111111111111107</v>
      </c>
      <c r="J13">
        <f t="shared" si="0"/>
        <v>9.438287628076146E-2</v>
      </c>
    </row>
    <row r="14" spans="1:10">
      <c r="A14">
        <v>6</v>
      </c>
      <c r="B14" s="4">
        <v>46946</v>
      </c>
      <c r="C14">
        <v>0.90901718303320767</v>
      </c>
      <c r="D14">
        <v>0.89571111788568369</v>
      </c>
      <c r="E14">
        <v>2.3549389624901301E-2</v>
      </c>
      <c r="F14">
        <v>0.50555555555555554</v>
      </c>
      <c r="G14">
        <v>1.839</v>
      </c>
      <c r="H14">
        <v>1</v>
      </c>
      <c r="I14">
        <v>5.7206152988521817</v>
      </c>
      <c r="J14">
        <f t="shared" si="0"/>
        <v>0.10520520285591206</v>
      </c>
    </row>
    <row r="15" spans="1:10">
      <c r="A15">
        <v>6.5</v>
      </c>
      <c r="B15" s="4">
        <v>47130</v>
      </c>
      <c r="C15">
        <v>0.89917826917514665</v>
      </c>
      <c r="D15">
        <v>0.88485868785708344</v>
      </c>
      <c r="E15">
        <v>2.39959391987998E-2</v>
      </c>
      <c r="F15">
        <v>0.51111111111111107</v>
      </c>
      <c r="J15">
        <f t="shared" si="0"/>
        <v>0.11623325669476103</v>
      </c>
    </row>
    <row r="16" spans="1:10">
      <c r="A16">
        <v>7</v>
      </c>
      <c r="B16" s="4">
        <v>47311</v>
      </c>
      <c r="C16">
        <v>0.8893123052047649</v>
      </c>
      <c r="D16">
        <v>0.8740370041426615</v>
      </c>
      <c r="E16">
        <v>2.4625720319847801E-2</v>
      </c>
      <c r="F16">
        <v>0.50277777777777777</v>
      </c>
      <c r="G16">
        <v>1.925</v>
      </c>
      <c r="H16">
        <v>1</v>
      </c>
      <c r="I16">
        <v>6.6099276040569466</v>
      </c>
      <c r="J16">
        <f t="shared" si="0"/>
        <v>0.12724406795864956</v>
      </c>
    </row>
    <row r="17" spans="1:10">
      <c r="A17">
        <v>7.5</v>
      </c>
      <c r="B17" s="4">
        <v>47497</v>
      </c>
      <c r="C17">
        <v>0.87897161571716564</v>
      </c>
      <c r="D17">
        <v>0.86271292715050496</v>
      </c>
      <c r="E17">
        <v>2.5405401590895899E-2</v>
      </c>
      <c r="F17">
        <v>0.51666666666666672</v>
      </c>
      <c r="J17">
        <f t="shared" si="0"/>
        <v>0.13878155851553439</v>
      </c>
    </row>
    <row r="18" spans="1:10">
      <c r="A18">
        <v>8</v>
      </c>
      <c r="B18" s="4">
        <v>47676</v>
      </c>
      <c r="C18">
        <v>0.86884980767765363</v>
      </c>
      <c r="D18">
        <v>0.85168947472002765</v>
      </c>
      <c r="E18">
        <v>2.6037552195365E-2</v>
      </c>
      <c r="F18">
        <v>0.49722222222222218</v>
      </c>
      <c r="G18">
        <v>2.0059999999999998</v>
      </c>
      <c r="H18">
        <v>1</v>
      </c>
      <c r="I18">
        <v>7.4787774117346002</v>
      </c>
      <c r="J18">
        <f t="shared" si="0"/>
        <v>0.15003007872915611</v>
      </c>
    </row>
    <row r="19" spans="1:10">
      <c r="A19">
        <v>8.5</v>
      </c>
      <c r="B19" s="4">
        <v>47861</v>
      </c>
      <c r="C19">
        <v>0.85822803261302394</v>
      </c>
      <c r="D19">
        <v>0.84022535250532049</v>
      </c>
      <c r="E19">
        <v>2.6550689146691599E-2</v>
      </c>
      <c r="F19">
        <v>0.51388888888888884</v>
      </c>
      <c r="J19">
        <f t="shared" si="0"/>
        <v>0.16173983138613873</v>
      </c>
    </row>
    <row r="20" spans="1:10">
      <c r="A20">
        <v>9</v>
      </c>
      <c r="B20" s="4">
        <v>48043</v>
      </c>
      <c r="C20">
        <v>0.84757139217307043</v>
      </c>
      <c r="D20">
        <v>0.82878111312407454</v>
      </c>
      <c r="E20">
        <v>2.73135531920118E-2</v>
      </c>
      <c r="F20">
        <v>0.50555555555555554</v>
      </c>
      <c r="G20">
        <v>2.0830000000000002</v>
      </c>
      <c r="H20">
        <v>1.005555555555556</v>
      </c>
      <c r="I20">
        <v>8.3310575338641879</v>
      </c>
      <c r="J20">
        <f t="shared" si="0"/>
        <v>0.1734435366843462</v>
      </c>
    </row>
    <row r="21" spans="1:10">
      <c r="A21">
        <v>9.5</v>
      </c>
      <c r="B21" s="4">
        <v>48225</v>
      </c>
      <c r="C21">
        <v>0.83669069416023167</v>
      </c>
      <c r="D21">
        <v>0.81711882271219038</v>
      </c>
      <c r="E21">
        <v>2.8236771671545199E-2</v>
      </c>
      <c r="F21">
        <v>0.50555555555555554</v>
      </c>
      <c r="J21">
        <f t="shared" si="0"/>
        <v>0.18538751119687136</v>
      </c>
    </row>
    <row r="22" spans="1:10">
      <c r="A22">
        <v>10</v>
      </c>
      <c r="B22" s="4">
        <v>48407</v>
      </c>
      <c r="C22">
        <v>0.8257303052243582</v>
      </c>
      <c r="D22">
        <v>0.80547248666946025</v>
      </c>
      <c r="E22">
        <v>2.8600242760871801E-2</v>
      </c>
      <c r="F22">
        <v>0.50555555555555554</v>
      </c>
      <c r="G22">
        <v>2.1560000000000001</v>
      </c>
      <c r="H22">
        <v>0.99444444444444446</v>
      </c>
      <c r="I22">
        <v>9.152200448503967</v>
      </c>
      <c r="J22">
        <f t="shared" si="0"/>
        <v>0.19732675527344198</v>
      </c>
    </row>
    <row r="23" spans="1:10">
      <c r="A23">
        <v>10.5</v>
      </c>
      <c r="B23" s="4">
        <v>48591</v>
      </c>
      <c r="C23">
        <v>0.8146912703004634</v>
      </c>
      <c r="D23">
        <v>0.79392771566848708</v>
      </c>
      <c r="E23">
        <v>2.8450443271989499E-2</v>
      </c>
      <c r="F23">
        <v>0.51111111111111107</v>
      </c>
      <c r="J23">
        <f t="shared" si="0"/>
        <v>0.20917345613359695</v>
      </c>
    </row>
    <row r="24" spans="1:10">
      <c r="A24">
        <v>11</v>
      </c>
      <c r="B24" s="4">
        <v>48772</v>
      </c>
      <c r="C24">
        <v>0.8037668893231964</v>
      </c>
      <c r="D24">
        <v>0.78267545028228147</v>
      </c>
      <c r="E24">
        <v>2.8594478516200401E-2</v>
      </c>
      <c r="F24">
        <v>0.50277777777777777</v>
      </c>
      <c r="G24">
        <v>2.2170000000000001</v>
      </c>
      <c r="H24">
        <v>1</v>
      </c>
      <c r="I24">
        <v>9.9559673378271629</v>
      </c>
      <c r="J24">
        <f t="shared" si="0"/>
        <v>0.22072894614423624</v>
      </c>
    </row>
    <row r="25" spans="1:10">
      <c r="A25">
        <v>11.5</v>
      </c>
      <c r="B25" s="4">
        <v>48956</v>
      </c>
      <c r="C25">
        <v>0.79251290448087985</v>
      </c>
      <c r="D25">
        <v>0.77121663179798594</v>
      </c>
      <c r="E25">
        <v>2.90702074422408E-2</v>
      </c>
      <c r="F25">
        <v>0.51111111111111107</v>
      </c>
      <c r="J25">
        <f t="shared" si="0"/>
        <v>0.23250418690601346</v>
      </c>
    </row>
    <row r="26" spans="1:10">
      <c r="A26">
        <v>12</v>
      </c>
      <c r="B26" s="4">
        <v>49137</v>
      </c>
      <c r="C26">
        <v>0.78150798192835358</v>
      </c>
      <c r="D26">
        <v>0.76007457235941267</v>
      </c>
      <c r="E26">
        <v>2.9156352552981098E-2</v>
      </c>
      <c r="F26">
        <v>0.50277777777777777</v>
      </c>
      <c r="G26">
        <v>2.2719999999999998</v>
      </c>
      <c r="H26">
        <v>1</v>
      </c>
      <c r="I26">
        <v>10.73747531975552</v>
      </c>
      <c r="J26">
        <f t="shared" si="0"/>
        <v>0.24396044225650515</v>
      </c>
    </row>
    <row r="27" spans="1:10">
      <c r="A27">
        <v>12.5</v>
      </c>
      <c r="B27" s="4">
        <v>49321</v>
      </c>
      <c r="C27">
        <v>0.77061478256932514</v>
      </c>
      <c r="D27">
        <v>0.74906175653772222</v>
      </c>
      <c r="E27">
        <v>2.8765069603566101E-2</v>
      </c>
      <c r="F27">
        <v>0.51111111111111107</v>
      </c>
      <c r="J27">
        <f t="shared" si="0"/>
        <v>0.25529013382844523</v>
      </c>
    </row>
    <row r="28" spans="1:10">
      <c r="A28">
        <v>13</v>
      </c>
      <c r="B28" s="4">
        <v>49502</v>
      </c>
      <c r="C28">
        <v>0.76021383187024028</v>
      </c>
      <c r="D28">
        <v>0.73859675986976769</v>
      </c>
      <c r="E28">
        <v>2.81809495309472E-2</v>
      </c>
      <c r="F28">
        <v>0.50277777777777777</v>
      </c>
      <c r="G28">
        <v>2.3140000000000001</v>
      </c>
      <c r="H28">
        <v>1</v>
      </c>
      <c r="I28">
        <v>11.49768915162576</v>
      </c>
      <c r="J28">
        <f t="shared" si="0"/>
        <v>0.26606141749730089</v>
      </c>
    </row>
    <row r="29" spans="1:10">
      <c r="A29">
        <v>13.5</v>
      </c>
      <c r="B29" s="4">
        <v>49688</v>
      </c>
      <c r="C29">
        <v>0.7498602714689413</v>
      </c>
      <c r="D29">
        <v>0.72826345785213376</v>
      </c>
      <c r="E29">
        <v>2.7462505736529301E-2</v>
      </c>
      <c r="F29">
        <v>0.51666666666666672</v>
      </c>
      <c r="J29">
        <f t="shared" si="0"/>
        <v>0.27670115586748667</v>
      </c>
    </row>
    <row r="30" spans="1:10">
      <c r="A30">
        <v>14</v>
      </c>
      <c r="B30" s="4">
        <v>49870</v>
      </c>
      <c r="C30">
        <v>0.74018567472833596</v>
      </c>
      <c r="D30">
        <v>0.71863740591193315</v>
      </c>
      <c r="E30">
        <v>2.6495339851027901E-2</v>
      </c>
      <c r="F30">
        <v>0.50555555555555554</v>
      </c>
      <c r="G30">
        <v>2.342000000000001</v>
      </c>
      <c r="H30">
        <v>1.005555555555556</v>
      </c>
      <c r="I30">
        <v>12.241986968991471</v>
      </c>
      <c r="J30">
        <f t="shared" si="0"/>
        <v>0.28661584398657475</v>
      </c>
    </row>
    <row r="31" spans="1:10">
      <c r="A31">
        <v>14.5</v>
      </c>
      <c r="B31" s="4">
        <v>50052</v>
      </c>
      <c r="C31">
        <v>0.73104788279616695</v>
      </c>
      <c r="D31">
        <v>0.7095309602972194</v>
      </c>
      <c r="E31">
        <v>2.5383289016291E-2</v>
      </c>
      <c r="F31">
        <v>0.50555555555555554</v>
      </c>
      <c r="J31">
        <f t="shared" si="0"/>
        <v>0.29599713494286589</v>
      </c>
    </row>
    <row r="32" spans="1:10">
      <c r="A32">
        <v>15</v>
      </c>
      <c r="B32" s="4">
        <v>50234</v>
      </c>
      <c r="C32">
        <v>0.72227737271592507</v>
      </c>
      <c r="D32">
        <v>0.700838160456415</v>
      </c>
      <c r="E32">
        <v>2.4534264978464001E-2</v>
      </c>
      <c r="F32">
        <v>0.50555555555555554</v>
      </c>
      <c r="G32">
        <v>2.3530000000000002</v>
      </c>
      <c r="H32">
        <v>0.99722222222222223</v>
      </c>
      <c r="I32">
        <v>12.962258015672081</v>
      </c>
      <c r="J32">
        <f t="shared" si="0"/>
        <v>0.30495585463711411</v>
      </c>
    </row>
    <row r="33" spans="1:10">
      <c r="A33">
        <v>15.5</v>
      </c>
      <c r="B33" s="4">
        <v>50417</v>
      </c>
      <c r="C33">
        <v>0.71366212197997081</v>
      </c>
      <c r="D33">
        <v>0.69241736243795082</v>
      </c>
      <c r="E33">
        <v>2.3922987110430501E-2</v>
      </c>
      <c r="F33">
        <v>0.5083333333333333</v>
      </c>
      <c r="J33">
        <f t="shared" si="0"/>
        <v>0.31363459392432319</v>
      </c>
    </row>
    <row r="34" spans="1:10">
      <c r="A34">
        <v>16</v>
      </c>
      <c r="B34" s="4">
        <v>50598</v>
      </c>
      <c r="C34">
        <v>0.70541109112485312</v>
      </c>
      <c r="D34">
        <v>0.68446812486706743</v>
      </c>
      <c r="E34">
        <v>2.3099159315272899E-2</v>
      </c>
      <c r="F34">
        <v>0.50277777777777777</v>
      </c>
      <c r="G34">
        <v>2.355</v>
      </c>
      <c r="H34">
        <v>0.99722222222222223</v>
      </c>
      <c r="I34">
        <v>13.6657096315438</v>
      </c>
      <c r="J34">
        <f t="shared" si="0"/>
        <v>0.32182705774369619</v>
      </c>
    </row>
    <row r="35" spans="1:10">
      <c r="A35">
        <v>16.5</v>
      </c>
      <c r="B35" s="4">
        <v>50782</v>
      </c>
      <c r="C35">
        <v>0.69740868440821069</v>
      </c>
      <c r="D35">
        <v>0.67685350673892697</v>
      </c>
      <c r="E35">
        <v>2.2010916327615201E-2</v>
      </c>
      <c r="F35">
        <v>0.51111111111111107</v>
      </c>
      <c r="J35">
        <f t="shared" si="0"/>
        <v>0.32967292211190086</v>
      </c>
    </row>
    <row r="36" spans="1:10">
      <c r="A36">
        <v>17</v>
      </c>
      <c r="B36" s="4">
        <v>50963</v>
      </c>
      <c r="C36">
        <v>0.68996315335641056</v>
      </c>
      <c r="D36">
        <v>0.66981104102760358</v>
      </c>
      <c r="E36">
        <v>2.0912038267508801E-2</v>
      </c>
      <c r="F36">
        <v>0.50277777777777777</v>
      </c>
      <c r="G36">
        <v>2.347</v>
      </c>
      <c r="H36">
        <v>1</v>
      </c>
      <c r="I36">
        <v>14.355672784900211</v>
      </c>
      <c r="J36">
        <f t="shared" ref="J36:J67" si="1">J35+(E36*F36*C36)</f>
        <v>0.33692726931127592</v>
      </c>
    </row>
    <row r="37" spans="1:10">
      <c r="A37">
        <v>17.5</v>
      </c>
      <c r="B37" s="4">
        <v>51147</v>
      </c>
      <c r="C37">
        <v>0.68282994441576605</v>
      </c>
      <c r="D37">
        <v>0.66306691465186141</v>
      </c>
      <c r="E37">
        <v>1.9899997381878601E-2</v>
      </c>
      <c r="F37">
        <v>0.51111111111111107</v>
      </c>
      <c r="J37">
        <f t="shared" si="1"/>
        <v>0.34387240763219296</v>
      </c>
    </row>
    <row r="38" spans="1:10">
      <c r="A38">
        <v>18</v>
      </c>
      <c r="B38" s="4">
        <v>51329</v>
      </c>
      <c r="C38">
        <v>0.67609185802575111</v>
      </c>
      <c r="D38">
        <v>0.65673579124496839</v>
      </c>
      <c r="E38">
        <v>1.90687052713602E-2</v>
      </c>
      <c r="F38">
        <v>0.50555555555555554</v>
      </c>
      <c r="G38">
        <v>2.331</v>
      </c>
      <c r="H38">
        <v>1</v>
      </c>
      <c r="I38">
        <v>15.031764642925969</v>
      </c>
      <c r="J38">
        <f t="shared" si="1"/>
        <v>0.35039012913392853</v>
      </c>
    </row>
    <row r="39" spans="1:10">
      <c r="A39">
        <v>18.5</v>
      </c>
      <c r="B39" s="4">
        <v>51515</v>
      </c>
      <c r="C39">
        <v>0.66942332733091914</v>
      </c>
      <c r="D39">
        <v>0.65055591075883357</v>
      </c>
      <c r="E39">
        <v>1.8385904743329899E-2</v>
      </c>
      <c r="F39">
        <v>0.51666666666666672</v>
      </c>
      <c r="J39">
        <f t="shared" si="1"/>
        <v>0.35674923845738432</v>
      </c>
    </row>
    <row r="40" spans="1:10">
      <c r="A40">
        <v>19</v>
      </c>
      <c r="B40" s="4">
        <v>51694</v>
      </c>
      <c r="C40">
        <v>0.66324213984716596</v>
      </c>
      <c r="D40">
        <v>0.6449111569909729</v>
      </c>
      <c r="E40">
        <v>1.75973078822565E-2</v>
      </c>
      <c r="F40">
        <v>0.49722222222222218</v>
      </c>
      <c r="G40">
        <v>2.31</v>
      </c>
      <c r="H40">
        <v>1</v>
      </c>
      <c r="I40">
        <v>15.695006782773129</v>
      </c>
      <c r="J40">
        <f t="shared" si="1"/>
        <v>0.36255245631358574</v>
      </c>
    </row>
    <row r="41" spans="1:10">
      <c r="A41">
        <v>19.5</v>
      </c>
      <c r="B41" s="4">
        <v>51879</v>
      </c>
      <c r="C41">
        <v>0.65713526584249904</v>
      </c>
      <c r="D41">
        <v>0.63940852927721736</v>
      </c>
      <c r="E41">
        <v>1.6746439250249601E-2</v>
      </c>
      <c r="F41">
        <v>0.51388888888888884</v>
      </c>
      <c r="J41">
        <f t="shared" si="1"/>
        <v>0.36820763693746406</v>
      </c>
    </row>
    <row r="42" spans="1:10">
      <c r="A42">
        <v>20</v>
      </c>
      <c r="B42" s="4">
        <v>52061</v>
      </c>
      <c r="C42">
        <v>0.65135462223894658</v>
      </c>
      <c r="D42">
        <v>0.63424325968494244</v>
      </c>
      <c r="E42">
        <v>1.6108987553141298E-2</v>
      </c>
      <c r="F42">
        <v>0.50555555555555554</v>
      </c>
      <c r="G42">
        <v>2.2850000000000001</v>
      </c>
      <c r="H42">
        <v>1.005555555555556</v>
      </c>
      <c r="I42">
        <v>16.34998004180229</v>
      </c>
      <c r="J42">
        <f t="shared" si="1"/>
        <v>0.37351226126364112</v>
      </c>
    </row>
    <row r="43" spans="1:10">
      <c r="A43">
        <v>20.5</v>
      </c>
      <c r="B43" s="4">
        <v>52243</v>
      </c>
      <c r="C43">
        <v>0.64573914209288952</v>
      </c>
      <c r="D43">
        <v>0.62923895877524105</v>
      </c>
      <c r="E43">
        <v>1.57299670783482E-2</v>
      </c>
      <c r="F43">
        <v>0.50555555555555554</v>
      </c>
      <c r="J43">
        <f t="shared" si="1"/>
        <v>0.37864741929483725</v>
      </c>
    </row>
    <row r="44" spans="1:10">
      <c r="A44">
        <v>21</v>
      </c>
      <c r="B44" s="4">
        <v>52425</v>
      </c>
      <c r="C44">
        <v>0.6402741031535254</v>
      </c>
      <c r="D44">
        <v>0.62437792638072032</v>
      </c>
      <c r="E44">
        <v>1.53996938488435E-2</v>
      </c>
      <c r="F44">
        <v>0.50555555555555554</v>
      </c>
      <c r="J44">
        <f t="shared" si="1"/>
        <v>0.38363220979639029</v>
      </c>
    </row>
    <row r="45" spans="1:10">
      <c r="A45">
        <v>21.5</v>
      </c>
      <c r="B45" s="4">
        <v>52608</v>
      </c>
      <c r="C45">
        <v>0.634927113266328</v>
      </c>
      <c r="D45">
        <v>0.61963339874338974</v>
      </c>
      <c r="E45">
        <v>1.5062316009954399E-2</v>
      </c>
      <c r="F45">
        <v>0.5083333333333333</v>
      </c>
      <c r="J45">
        <f t="shared" si="1"/>
        <v>0.38849364181490392</v>
      </c>
    </row>
    <row r="46" spans="1:10">
      <c r="A46">
        <v>22</v>
      </c>
      <c r="B46" s="4">
        <v>52790</v>
      </c>
      <c r="C46">
        <v>0.62975313698155089</v>
      </c>
      <c r="D46">
        <v>0.61505604443203954</v>
      </c>
      <c r="E46">
        <v>1.47207844081999E-2</v>
      </c>
      <c r="F46">
        <v>0.50555555555555554</v>
      </c>
      <c r="J46">
        <f t="shared" si="1"/>
        <v>0.39318037445129428</v>
      </c>
    </row>
    <row r="47" spans="1:10">
      <c r="A47">
        <v>22.5</v>
      </c>
      <c r="B47" s="4">
        <v>52974</v>
      </c>
      <c r="C47">
        <v>0.6246646569460953</v>
      </c>
      <c r="D47">
        <v>0.61057042362918235</v>
      </c>
      <c r="E47">
        <v>1.4373795838521899E-2</v>
      </c>
      <c r="F47">
        <v>0.51111111111111107</v>
      </c>
      <c r="J47">
        <f t="shared" si="1"/>
        <v>0.39776954004394138</v>
      </c>
    </row>
    <row r="48" spans="1:10">
      <c r="A48">
        <v>23</v>
      </c>
      <c r="B48" s="4">
        <v>53155</v>
      </c>
      <c r="C48">
        <v>0.61979555389178442</v>
      </c>
      <c r="D48">
        <v>0.60629619276544222</v>
      </c>
      <c r="E48">
        <v>1.40215834415629E-2</v>
      </c>
      <c r="F48">
        <v>0.50277777777777777</v>
      </c>
      <c r="J48">
        <f t="shared" si="1"/>
        <v>0.40213893790139749</v>
      </c>
    </row>
    <row r="49" spans="1:10">
      <c r="A49">
        <v>23.5</v>
      </c>
      <c r="B49" s="4">
        <v>53339</v>
      </c>
      <c r="C49">
        <v>0.61498122338346772</v>
      </c>
      <c r="D49">
        <v>0.60209061125679897</v>
      </c>
      <c r="E49">
        <v>1.36662347718224E-2</v>
      </c>
      <c r="F49">
        <v>0.51111111111111107</v>
      </c>
      <c r="J49">
        <f t="shared" si="1"/>
        <v>0.40643455987734156</v>
      </c>
    </row>
    <row r="50" spans="1:10">
      <c r="A50">
        <v>24</v>
      </c>
      <c r="B50" s="4">
        <v>53520</v>
      </c>
      <c r="C50">
        <v>0.61037562509683041</v>
      </c>
      <c r="D50">
        <v>0.59808983719780817</v>
      </c>
      <c r="E50">
        <v>1.3304591007762099E-2</v>
      </c>
      <c r="F50">
        <v>0.50277777777777777</v>
      </c>
      <c r="J50">
        <f t="shared" si="1"/>
        <v>0.41051751667622127</v>
      </c>
    </row>
    <row r="51" spans="1:10">
      <c r="A51">
        <v>24.5</v>
      </c>
      <c r="B51" s="4">
        <v>53706</v>
      </c>
      <c r="C51">
        <v>0.60577431036681406</v>
      </c>
      <c r="D51">
        <v>0.59411834436985755</v>
      </c>
      <c r="E51">
        <v>1.29380962311729E-2</v>
      </c>
      <c r="F51">
        <v>0.51666666666666672</v>
      </c>
      <c r="J51">
        <f t="shared" si="1"/>
        <v>0.41456692594253536</v>
      </c>
    </row>
    <row r="52" spans="1:10">
      <c r="A52">
        <v>25</v>
      </c>
      <c r="B52" s="4">
        <v>53885</v>
      </c>
      <c r="C52">
        <v>0.60146922482722898</v>
      </c>
      <c r="D52">
        <v>0.59042925412809355</v>
      </c>
      <c r="E52">
        <v>1.2563696621126301E-2</v>
      </c>
      <c r="F52">
        <v>0.49722222222222218</v>
      </c>
      <c r="G52">
        <v>2.1509999999999998</v>
      </c>
      <c r="H52">
        <v>1.002777777777778</v>
      </c>
      <c r="I52">
        <v>20.04276006411229</v>
      </c>
      <c r="J52">
        <f t="shared" si="1"/>
        <v>0.41832427360729513</v>
      </c>
    </row>
    <row r="53" spans="1:10">
      <c r="A53">
        <v>25.5</v>
      </c>
      <c r="B53" s="4">
        <v>54070</v>
      </c>
      <c r="C53">
        <v>0.59714179724358019</v>
      </c>
      <c r="D53">
        <v>0.58675019054605404</v>
      </c>
      <c r="E53">
        <v>1.22015450147267E-2</v>
      </c>
      <c r="F53">
        <v>0.51388888888888884</v>
      </c>
      <c r="J53">
        <f t="shared" si="1"/>
        <v>0.42206849504079469</v>
      </c>
    </row>
    <row r="54" spans="1:10">
      <c r="A54">
        <v>26</v>
      </c>
      <c r="B54" s="4">
        <v>54252</v>
      </c>
      <c r="C54">
        <v>0.59299302894571138</v>
      </c>
      <c r="D54">
        <v>0.58325070461122197</v>
      </c>
      <c r="E54">
        <v>1.1868069830263801E-2</v>
      </c>
      <c r="F54">
        <v>0.50555555555555554</v>
      </c>
      <c r="J54">
        <f t="shared" si="1"/>
        <v>0.42562643461607941</v>
      </c>
    </row>
    <row r="55" spans="1:10">
      <c r="A55">
        <v>26.5</v>
      </c>
      <c r="B55" s="4">
        <v>54435</v>
      </c>
      <c r="C55">
        <v>0.58891583250939061</v>
      </c>
      <c r="D55">
        <v>0.57983716615897962</v>
      </c>
      <c r="E55">
        <v>1.15805884799351E-2</v>
      </c>
      <c r="F55">
        <v>0.5083333333333333</v>
      </c>
      <c r="J55">
        <f t="shared" si="1"/>
        <v>0.42909326383476432</v>
      </c>
    </row>
    <row r="56" spans="1:10">
      <c r="A56">
        <v>27</v>
      </c>
      <c r="B56" s="4">
        <v>54616</v>
      </c>
      <c r="C56">
        <v>0.58496282841536662</v>
      </c>
      <c r="D56">
        <v>0.57655059372333639</v>
      </c>
      <c r="E56">
        <v>1.13378239913883E-2</v>
      </c>
      <c r="F56">
        <v>0.50277777777777777</v>
      </c>
      <c r="J56">
        <f t="shared" si="1"/>
        <v>0.43242778942310917</v>
      </c>
    </row>
    <row r="57" spans="1:10">
      <c r="A57">
        <v>27.5</v>
      </c>
      <c r="B57" s="4">
        <v>54800</v>
      </c>
      <c r="C57">
        <v>0.58101208887308553</v>
      </c>
      <c r="D57">
        <v>0.57328687722651306</v>
      </c>
      <c r="E57">
        <v>1.1138458824115899E-2</v>
      </c>
      <c r="F57">
        <v>0.51111111111111107</v>
      </c>
      <c r="J57">
        <f t="shared" si="1"/>
        <v>0.43573548547309154</v>
      </c>
    </row>
    <row r="58" spans="1:10">
      <c r="A58">
        <v>28</v>
      </c>
      <c r="B58" s="4">
        <v>54981</v>
      </c>
      <c r="C58">
        <v>0.57717966116032426</v>
      </c>
      <c r="D58">
        <v>0.57013896952900966</v>
      </c>
      <c r="E58">
        <v>1.09815890846915E-2</v>
      </c>
      <c r="F58">
        <v>0.50277777777777777</v>
      </c>
      <c r="J58">
        <f t="shared" si="1"/>
        <v>0.4389222669339517</v>
      </c>
    </row>
    <row r="59" spans="1:10">
      <c r="A59">
        <v>28.5</v>
      </c>
      <c r="B59" s="4">
        <v>55165</v>
      </c>
      <c r="C59">
        <v>0.57332577765484094</v>
      </c>
      <c r="D59">
        <v>0.56698905422546453</v>
      </c>
      <c r="E59">
        <v>1.0869482791382201E-2</v>
      </c>
      <c r="F59">
        <v>0.51111111111111107</v>
      </c>
      <c r="J59">
        <f t="shared" si="1"/>
        <v>0.4421073859895901</v>
      </c>
    </row>
    <row r="60" spans="1:10">
      <c r="A60">
        <v>29</v>
      </c>
      <c r="B60" s="4">
        <v>55346</v>
      </c>
      <c r="C60">
        <v>0.56956397983013385</v>
      </c>
      <c r="D60">
        <v>0.56392695819486949</v>
      </c>
      <c r="E60">
        <v>1.07999035290495E-2</v>
      </c>
      <c r="F60">
        <v>0.50277777777777777</v>
      </c>
      <c r="J60">
        <f t="shared" si="1"/>
        <v>0.44520009077424966</v>
      </c>
    </row>
    <row r="61" spans="1:10">
      <c r="A61">
        <v>29.5</v>
      </c>
      <c r="B61" s="4">
        <v>55530</v>
      </c>
      <c r="C61">
        <v>0.56575749067846093</v>
      </c>
      <c r="D61">
        <v>0.56083828488264831</v>
      </c>
      <c r="E61">
        <v>1.0775042723228601E-2</v>
      </c>
      <c r="F61">
        <v>0.51111111111111107</v>
      </c>
      <c r="J61">
        <f t="shared" si="1"/>
        <v>0.4483158553533626</v>
      </c>
    </row>
    <row r="62" spans="1:10">
      <c r="A62">
        <v>30</v>
      </c>
      <c r="B62" s="4">
        <v>55712</v>
      </c>
      <c r="C62">
        <v>0.56199826955425991</v>
      </c>
      <c r="D62">
        <v>0.55779469673686044</v>
      </c>
      <c r="E62">
        <v>1.0793010904611801E-2</v>
      </c>
      <c r="F62">
        <v>0.50555555555555554</v>
      </c>
      <c r="G62">
        <v>2.0209999999999999</v>
      </c>
      <c r="H62">
        <v>1</v>
      </c>
      <c r="I62">
        <v>22.334839906326771</v>
      </c>
      <c r="J62">
        <f t="shared" si="1"/>
        <v>0.45138238015393017</v>
      </c>
    </row>
    <row r="63" spans="1:10">
      <c r="A63">
        <v>30.5</v>
      </c>
      <c r="B63" s="4">
        <v>55897</v>
      </c>
      <c r="C63">
        <v>0.55817405862420799</v>
      </c>
      <c r="D63">
        <v>0.55470287369725568</v>
      </c>
      <c r="E63">
        <v>1.0846384244233899E-2</v>
      </c>
      <c r="F63">
        <v>0.51388888888888884</v>
      </c>
      <c r="J63">
        <f t="shared" si="1"/>
        <v>0.45449355101025046</v>
      </c>
    </row>
    <row r="64" spans="1:10">
      <c r="A64">
        <v>31</v>
      </c>
      <c r="B64" s="4">
        <v>56079</v>
      </c>
      <c r="C64">
        <v>0.55441017461360897</v>
      </c>
      <c r="D64">
        <v>0.55166414272305053</v>
      </c>
      <c r="E64">
        <v>1.08955362271776E-2</v>
      </c>
      <c r="F64">
        <v>0.50555555555555554</v>
      </c>
      <c r="J64">
        <f t="shared" si="1"/>
        <v>0.45754740794881643</v>
      </c>
    </row>
    <row r="65" spans="1:10">
      <c r="A65">
        <v>31.5</v>
      </c>
      <c r="B65" s="4">
        <v>56261</v>
      </c>
      <c r="C65">
        <v>0.55064827385461712</v>
      </c>
      <c r="D65">
        <v>0.5486319065880878</v>
      </c>
      <c r="E65">
        <v>1.0932826565357399E-2</v>
      </c>
      <c r="F65">
        <v>0.50555555555555554</v>
      </c>
      <c r="J65">
        <f t="shared" si="1"/>
        <v>0.46059092422085812</v>
      </c>
    </row>
    <row r="66" spans="1:10">
      <c r="A66">
        <v>32</v>
      </c>
      <c r="B66" s="4">
        <v>56443</v>
      </c>
      <c r="C66">
        <v>0.546891901283866</v>
      </c>
      <c r="D66">
        <v>0.54560963384076011</v>
      </c>
      <c r="E66">
        <v>1.0956774856977301E-2</v>
      </c>
      <c r="F66">
        <v>0.50555555555555554</v>
      </c>
      <c r="J66">
        <f t="shared" si="1"/>
        <v>0.46362029977889097</v>
      </c>
    </row>
    <row r="67" spans="1:10">
      <c r="A67">
        <v>32.5</v>
      </c>
      <c r="B67" s="4">
        <v>56626</v>
      </c>
      <c r="C67">
        <v>0.5431239515609213</v>
      </c>
      <c r="D67">
        <v>0.54258422783504157</v>
      </c>
      <c r="E67">
        <v>1.09691991996723E-2</v>
      </c>
      <c r="F67">
        <v>0.5083333333333333</v>
      </c>
      <c r="J67">
        <f t="shared" si="1"/>
        <v>0.46664876414307332</v>
      </c>
    </row>
    <row r="68" spans="1:10">
      <c r="A68">
        <v>33</v>
      </c>
      <c r="B68" s="4">
        <v>56807</v>
      </c>
      <c r="C68">
        <v>0.53940946446737725</v>
      </c>
      <c r="D68">
        <v>0.53960847472234175</v>
      </c>
      <c r="E68">
        <v>1.0968369202468299E-2</v>
      </c>
      <c r="F68">
        <v>0.50277777777777777</v>
      </c>
      <c r="J68">
        <f t="shared" ref="J68:J99" si="2">J67+(E68*F68*C68)</f>
        <v>0.4696234197834141</v>
      </c>
    </row>
    <row r="69" spans="1:10">
      <c r="A69">
        <v>33.5</v>
      </c>
      <c r="B69" s="4">
        <v>56991</v>
      </c>
      <c r="C69">
        <v>0.53564926141067259</v>
      </c>
      <c r="D69">
        <v>0.53660360945520758</v>
      </c>
      <c r="E69">
        <v>1.0956102632769599E-2</v>
      </c>
      <c r="F69">
        <v>0.51111111111111107</v>
      </c>
      <c r="J69">
        <f t="shared" si="2"/>
        <v>0.47262294090592966</v>
      </c>
    </row>
    <row r="70" spans="1:10">
      <c r="A70">
        <v>34</v>
      </c>
      <c r="B70" s="4">
        <v>57173</v>
      </c>
      <c r="C70">
        <v>0.53194885680512016</v>
      </c>
      <c r="D70">
        <v>0.53365464410213215</v>
      </c>
      <c r="E70">
        <v>1.0930511605727E-2</v>
      </c>
      <c r="F70">
        <v>0.50555555555555554</v>
      </c>
      <c r="J70">
        <f t="shared" si="2"/>
        <v>0.47556248011103802</v>
      </c>
    </row>
    <row r="71" spans="1:10">
      <c r="A71">
        <v>34.5</v>
      </c>
      <c r="B71" s="4">
        <v>57357</v>
      </c>
      <c r="C71">
        <v>0.52823009110863162</v>
      </c>
      <c r="D71">
        <v>0.53069993891946243</v>
      </c>
      <c r="E71">
        <v>1.0893057448593301E-2</v>
      </c>
      <c r="F71">
        <v>0.51111111111111107</v>
      </c>
      <c r="J71">
        <f t="shared" si="2"/>
        <v>0.47850343426117148</v>
      </c>
    </row>
    <row r="72" spans="1:10">
      <c r="A72">
        <v>35</v>
      </c>
      <c r="B72" s="4">
        <v>57538</v>
      </c>
      <c r="C72">
        <v>0.52459684006245333</v>
      </c>
      <c r="D72">
        <v>0.52782259332972981</v>
      </c>
      <c r="E72">
        <v>1.08424636949378E-2</v>
      </c>
      <c r="F72">
        <v>0.50277777777777777</v>
      </c>
      <c r="G72">
        <v>1.923</v>
      </c>
      <c r="H72">
        <v>1</v>
      </c>
      <c r="I72">
        <v>25.032159696291082</v>
      </c>
      <c r="J72">
        <f t="shared" si="2"/>
        <v>0.48136319514146864</v>
      </c>
    </row>
    <row r="73" spans="1:10">
      <c r="A73">
        <v>35.5</v>
      </c>
      <c r="B73" s="4">
        <v>57724</v>
      </c>
      <c r="C73">
        <v>0.52089196930492376</v>
      </c>
      <c r="D73">
        <v>0.5248990250607739</v>
      </c>
      <c r="E73">
        <v>1.07802052586819E-2</v>
      </c>
      <c r="F73">
        <v>0.51666666666666672</v>
      </c>
      <c r="J73">
        <f t="shared" si="2"/>
        <v>0.48426444502060012</v>
      </c>
    </row>
    <row r="74" spans="1:10">
      <c r="A74">
        <v>36</v>
      </c>
      <c r="B74" s="4">
        <v>57903</v>
      </c>
      <c r="C74">
        <v>0.51735683932539711</v>
      </c>
      <c r="D74">
        <v>0.5221203071921855</v>
      </c>
      <c r="E74">
        <v>1.07032216274824E-2</v>
      </c>
      <c r="F74">
        <v>0.49722222222222218</v>
      </c>
      <c r="J74">
        <f t="shared" si="2"/>
        <v>0.4870177558517419</v>
      </c>
    </row>
    <row r="75" spans="1:10">
      <c r="A75">
        <v>36.5</v>
      </c>
      <c r="B75" s="4">
        <v>58088</v>
      </c>
      <c r="C75">
        <v>0.51373727224032295</v>
      </c>
      <c r="D75">
        <v>0.51928740042500721</v>
      </c>
      <c r="E75">
        <v>1.06158621108882E-2</v>
      </c>
      <c r="F75">
        <v>0.51388888888888884</v>
      </c>
      <c r="J75">
        <f t="shared" si="2"/>
        <v>0.48982038459622945</v>
      </c>
    </row>
    <row r="76" spans="1:10">
      <c r="A76">
        <v>37</v>
      </c>
      <c r="B76" s="4">
        <v>58270</v>
      </c>
      <c r="C76">
        <v>0.51021287719542696</v>
      </c>
      <c r="D76">
        <v>0.51654201597351568</v>
      </c>
      <c r="E76">
        <v>1.05130475648442E-2</v>
      </c>
      <c r="F76">
        <v>0.50555555555555554</v>
      </c>
      <c r="J76">
        <f t="shared" si="2"/>
        <v>0.49253213012067271</v>
      </c>
    </row>
    <row r="77" spans="1:10">
      <c r="A77">
        <v>37.5</v>
      </c>
      <c r="B77" s="4">
        <v>58452</v>
      </c>
      <c r="C77">
        <v>0.50672726759364373</v>
      </c>
      <c r="D77">
        <v>0.51384074987513662</v>
      </c>
      <c r="E77">
        <v>1.0398104339398801E-2</v>
      </c>
      <c r="F77">
        <v>0.50555555555555554</v>
      </c>
      <c r="J77">
        <f t="shared" si="2"/>
        <v>0.4951959038595905</v>
      </c>
    </row>
    <row r="78" spans="1:10">
      <c r="A78">
        <v>38</v>
      </c>
      <c r="B78" s="4">
        <v>58634</v>
      </c>
      <c r="C78">
        <v>0.50328295965269065</v>
      </c>
      <c r="D78">
        <v>0.51118640050096331</v>
      </c>
      <c r="E78">
        <v>1.0270933253150399E-2</v>
      </c>
      <c r="F78">
        <v>0.50555555555555554</v>
      </c>
      <c r="J78">
        <f t="shared" si="2"/>
        <v>0.49780921440086667</v>
      </c>
    </row>
    <row r="79" spans="1:10">
      <c r="A79">
        <v>38.5</v>
      </c>
      <c r="B79" s="4">
        <v>58818</v>
      </c>
      <c r="C79">
        <v>0.49984527842257231</v>
      </c>
      <c r="D79">
        <v>0.50855337125243827</v>
      </c>
      <c r="E79">
        <v>1.0129868870633E-2</v>
      </c>
      <c r="F79">
        <v>0.51111111111111107</v>
      </c>
      <c r="J79">
        <f t="shared" si="2"/>
        <v>0.50039715759861314</v>
      </c>
    </row>
    <row r="80" spans="1:10">
      <c r="A80">
        <v>39</v>
      </c>
      <c r="B80" s="4">
        <v>58999</v>
      </c>
      <c r="C80">
        <v>0.49650964556268212</v>
      </c>
      <c r="D80">
        <v>0.50601548457043399</v>
      </c>
      <c r="E80">
        <v>9.9754465449435996E-3</v>
      </c>
      <c r="F80">
        <v>0.50277777777777777</v>
      </c>
      <c r="J80">
        <f t="shared" si="2"/>
        <v>0.50288736838342718</v>
      </c>
    </row>
    <row r="81" spans="1:10">
      <c r="A81">
        <v>39.5</v>
      </c>
      <c r="B81" s="4">
        <v>59183</v>
      </c>
      <c r="C81">
        <v>0.49316783235733408</v>
      </c>
      <c r="D81">
        <v>0.50349129580180585</v>
      </c>
      <c r="E81">
        <v>9.8087697655727703E-3</v>
      </c>
      <c r="F81">
        <v>0.51111111111111107</v>
      </c>
      <c r="J81">
        <f t="shared" si="2"/>
        <v>0.50535980179759898</v>
      </c>
    </row>
    <row r="82" spans="1:10">
      <c r="A82">
        <v>40</v>
      </c>
      <c r="B82" s="4">
        <v>59364</v>
      </c>
      <c r="C82">
        <v>0.48993103816542471</v>
      </c>
      <c r="D82">
        <v>0.50106569279954849</v>
      </c>
      <c r="E82">
        <v>9.6282859328103293E-3</v>
      </c>
      <c r="F82">
        <v>0.50277777777777777</v>
      </c>
      <c r="G82">
        <v>1.843</v>
      </c>
      <c r="H82">
        <v>1</v>
      </c>
      <c r="I82">
        <v>27.549491555734601</v>
      </c>
      <c r="J82">
        <f t="shared" si="2"/>
        <v>0.50773150318157001</v>
      </c>
    </row>
    <row r="83" spans="1:10">
      <c r="A83">
        <v>40.5</v>
      </c>
      <c r="B83" s="4">
        <v>59548</v>
      </c>
      <c r="C83">
        <v>0.48669362634470931</v>
      </c>
      <c r="D83">
        <v>0.49865975423065317</v>
      </c>
      <c r="E83">
        <v>9.4398456525104004E-3</v>
      </c>
      <c r="F83">
        <v>0.51111111111111107</v>
      </c>
      <c r="J83">
        <f t="shared" si="2"/>
        <v>0.51007970745697795</v>
      </c>
    </row>
    <row r="84" spans="1:10">
      <c r="A84">
        <v>41</v>
      </c>
      <c r="B84" s="4">
        <v>59729</v>
      </c>
      <c r="C84">
        <v>0.4835606296701902</v>
      </c>
      <c r="D84">
        <v>0.49634912885889831</v>
      </c>
      <c r="E84">
        <v>9.2590451040213406E-3</v>
      </c>
      <c r="F84">
        <v>0.50277777777777777</v>
      </c>
      <c r="J84">
        <f t="shared" si="2"/>
        <v>0.51233079926863567</v>
      </c>
    </row>
    <row r="85" spans="1:10">
      <c r="A85">
        <v>41.5</v>
      </c>
      <c r="B85" s="4">
        <v>59915</v>
      </c>
      <c r="C85">
        <v>0.48039334667767708</v>
      </c>
      <c r="D85">
        <v>0.49402867581010651</v>
      </c>
      <c r="E85">
        <v>9.0909691464970098E-3</v>
      </c>
      <c r="F85">
        <v>0.51666666666666672</v>
      </c>
      <c r="J85">
        <f t="shared" si="2"/>
        <v>0.51458720716659745</v>
      </c>
    </row>
    <row r="86" spans="1:10">
      <c r="A86">
        <v>42</v>
      </c>
      <c r="B86" s="4">
        <v>60097</v>
      </c>
      <c r="C86">
        <v>0.4773444128346101</v>
      </c>
      <c r="D86">
        <v>0.49180732439275149</v>
      </c>
      <c r="E86">
        <v>8.9341530849784603E-3</v>
      </c>
      <c r="F86">
        <v>0.50555555555555554</v>
      </c>
      <c r="J86">
        <f t="shared" si="2"/>
        <v>0.51674323379618436</v>
      </c>
    </row>
    <row r="87" spans="1:10">
      <c r="A87">
        <v>42.5</v>
      </c>
      <c r="B87" s="4">
        <v>60279</v>
      </c>
      <c r="C87">
        <v>0.47434415945888991</v>
      </c>
      <c r="D87">
        <v>0.4896309584163458</v>
      </c>
      <c r="E87">
        <v>8.7916116448463408E-3</v>
      </c>
      <c r="F87">
        <v>0.50555555555555554</v>
      </c>
      <c r="J87">
        <f t="shared" si="2"/>
        <v>0.51885152666769929</v>
      </c>
    </row>
    <row r="88" spans="1:10">
      <c r="A88">
        <v>43</v>
      </c>
      <c r="B88" s="4">
        <v>60461</v>
      </c>
      <c r="C88">
        <v>0.47139160614948861</v>
      </c>
      <c r="D88">
        <v>0.48749599328334481</v>
      </c>
      <c r="E88">
        <v>8.6626516188248893E-3</v>
      </c>
      <c r="F88">
        <v>0.50555555555555554</v>
      </c>
      <c r="J88">
        <f t="shared" si="2"/>
        <v>0.52091596341586666</v>
      </c>
    </row>
    <row r="89" spans="1:10">
      <c r="A89">
        <v>43.5</v>
      </c>
      <c r="B89" s="4">
        <v>60644</v>
      </c>
      <c r="C89">
        <v>0.46846995448104201</v>
      </c>
      <c r="D89">
        <v>0.48538748473141352</v>
      </c>
      <c r="E89">
        <v>8.5453174166054604E-3</v>
      </c>
      <c r="F89">
        <v>0.5083333333333333</v>
      </c>
      <c r="J89">
        <f t="shared" si="2"/>
        <v>0.5229509358503015</v>
      </c>
    </row>
    <row r="90" spans="1:10">
      <c r="A90">
        <v>44</v>
      </c>
      <c r="B90" s="4">
        <v>60825</v>
      </c>
      <c r="C90">
        <v>0.46562578064583421</v>
      </c>
      <c r="D90">
        <v>0.48333624725846241</v>
      </c>
      <c r="E90">
        <v>8.4409339494139791E-3</v>
      </c>
      <c r="F90">
        <v>0.50277777777777777</v>
      </c>
      <c r="J90">
        <f t="shared" si="2"/>
        <v>0.52492701162581046</v>
      </c>
    </row>
    <row r="91" spans="1:10">
      <c r="A91">
        <v>44.5</v>
      </c>
      <c r="B91" s="4">
        <v>61009</v>
      </c>
      <c r="C91">
        <v>0.46277995896916652</v>
      </c>
      <c r="D91">
        <v>0.48128244372266532</v>
      </c>
      <c r="E91">
        <v>8.3491748309134205E-3</v>
      </c>
      <c r="F91">
        <v>0.51111111111111107</v>
      </c>
      <c r="J91">
        <f t="shared" si="2"/>
        <v>0.52690185847182291</v>
      </c>
    </row>
    <row r="92" spans="1:10">
      <c r="A92">
        <v>45</v>
      </c>
      <c r="B92" s="4">
        <v>61190</v>
      </c>
      <c r="C92">
        <v>0.46002438942535051</v>
      </c>
      <c r="D92">
        <v>0.47928971420650379</v>
      </c>
      <c r="E92">
        <v>8.2694032527044995E-3</v>
      </c>
      <c r="F92">
        <v>0.50277777777777777</v>
      </c>
      <c r="J92">
        <f t="shared" si="2"/>
        <v>0.5288144890828923</v>
      </c>
    </row>
    <row r="93" spans="1:10">
      <c r="A93">
        <v>45.5</v>
      </c>
      <c r="B93" s="4">
        <v>61374</v>
      </c>
      <c r="C93">
        <v>0.45726682763226401</v>
      </c>
      <c r="D93">
        <v>0.47728865240006779</v>
      </c>
      <c r="E93">
        <v>8.2028368073458306E-3</v>
      </c>
      <c r="F93">
        <v>0.51111111111111107</v>
      </c>
      <c r="J93">
        <f t="shared" si="2"/>
        <v>0.53073160816695997</v>
      </c>
    </row>
    <row r="94" spans="1:10">
      <c r="A94">
        <v>46</v>
      </c>
      <c r="B94" s="4">
        <v>61556</v>
      </c>
      <c r="C94">
        <v>0.45458169239949059</v>
      </c>
      <c r="D94">
        <v>0.47533058089557279</v>
      </c>
      <c r="E94">
        <v>8.1482417208092097E-3</v>
      </c>
      <c r="F94">
        <v>0.50555555555555554</v>
      </c>
      <c r="J94">
        <f t="shared" si="2"/>
        <v>0.53260420693112009</v>
      </c>
    </row>
    <row r="95" spans="1:10">
      <c r="A95">
        <v>46.5</v>
      </c>
      <c r="B95" s="4">
        <v>61742</v>
      </c>
      <c r="C95">
        <v>0.45188028198482799</v>
      </c>
      <c r="D95">
        <v>0.47334797928999178</v>
      </c>
      <c r="E95">
        <v>8.1067071119907304E-3</v>
      </c>
      <c r="F95">
        <v>0.51666666666666672</v>
      </c>
      <c r="J95">
        <f t="shared" si="2"/>
        <v>0.53449689183058302</v>
      </c>
    </row>
    <row r="96" spans="1:10">
      <c r="A96">
        <v>47</v>
      </c>
      <c r="B96" s="4">
        <v>61921</v>
      </c>
      <c r="C96">
        <v>0.44932051302385029</v>
      </c>
      <c r="D96">
        <v>0.47145456425612797</v>
      </c>
      <c r="E96">
        <v>8.0772026974377208E-3</v>
      </c>
      <c r="F96">
        <v>0.49722222222222218</v>
      </c>
      <c r="J96">
        <f t="shared" si="2"/>
        <v>0.53630143700254429</v>
      </c>
    </row>
    <row r="97" spans="1:10">
      <c r="A97">
        <v>47.5</v>
      </c>
      <c r="B97" s="4">
        <v>62106</v>
      </c>
      <c r="C97">
        <v>0.44671531179977891</v>
      </c>
      <c r="D97">
        <v>0.46950955127735849</v>
      </c>
      <c r="E97">
        <v>8.0613698071773897E-3</v>
      </c>
      <c r="F97">
        <v>0.51388888888888884</v>
      </c>
      <c r="J97">
        <f t="shared" si="2"/>
        <v>0.53815202146222518</v>
      </c>
    </row>
    <row r="98" spans="1:10">
      <c r="A98">
        <v>48</v>
      </c>
      <c r="B98" s="4">
        <v>62288</v>
      </c>
      <c r="C98">
        <v>0.44419159681857179</v>
      </c>
      <c r="D98">
        <v>0.46760479806134042</v>
      </c>
      <c r="E98">
        <v>8.0573247742801099E-3</v>
      </c>
      <c r="F98">
        <v>0.50555555555555554</v>
      </c>
      <c r="J98">
        <f t="shared" si="2"/>
        <v>0.5399614027518872</v>
      </c>
    </row>
    <row r="99" spans="1:10">
      <c r="A99">
        <v>48.5</v>
      </c>
      <c r="B99" s="4">
        <v>62470</v>
      </c>
      <c r="C99">
        <v>0.44170601590680081</v>
      </c>
      <c r="D99">
        <v>0.46570569634089187</v>
      </c>
      <c r="E99">
        <v>8.0664530618313798E-3</v>
      </c>
      <c r="F99">
        <v>0.50555555555555554</v>
      </c>
      <c r="J99">
        <f t="shared" si="2"/>
        <v>0.54176269762324336</v>
      </c>
    </row>
    <row r="100" spans="1:10">
      <c r="A100">
        <v>49</v>
      </c>
      <c r="B100" s="4">
        <v>62652</v>
      </c>
      <c r="C100">
        <v>0.4392578039092318</v>
      </c>
      <c r="D100">
        <v>0.46380931440043982</v>
      </c>
      <c r="E100">
        <v>8.0875589180164006E-3</v>
      </c>
      <c r="F100">
        <v>0.50555555555555554</v>
      </c>
      <c r="J100">
        <f t="shared" ref="J100:J122" si="3">J99+(E100*F100*C100)</f>
        <v>0.54355869554884118</v>
      </c>
    </row>
    <row r="101" spans="1:10">
      <c r="A101">
        <v>49.5</v>
      </c>
      <c r="B101" s="4">
        <v>62835</v>
      </c>
      <c r="C101">
        <v>0.43683305994826649</v>
      </c>
      <c r="D101">
        <v>0.46190234191945129</v>
      </c>
      <c r="E101">
        <v>8.1218840242567106E-3</v>
      </c>
      <c r="F101">
        <v>0.5083333333333333</v>
      </c>
      <c r="J101">
        <f t="shared" si="3"/>
        <v>0.54536221516969552</v>
      </c>
    </row>
    <row r="102" spans="1:10">
      <c r="A102">
        <v>50</v>
      </c>
      <c r="B102" s="4">
        <v>63017</v>
      </c>
      <c r="C102">
        <v>0.43445754508781198</v>
      </c>
      <c r="D102">
        <v>0.46000277084258262</v>
      </c>
      <c r="E102">
        <v>8.1681971871145394E-3</v>
      </c>
      <c r="F102">
        <v>0.50555555555555554</v>
      </c>
      <c r="G102">
        <v>1.7030000000000001</v>
      </c>
      <c r="H102">
        <v>0.99722222222222223</v>
      </c>
      <c r="I102">
        <v>32.129337357042132</v>
      </c>
      <c r="J102">
        <f t="shared" si="3"/>
        <v>0.54715629781242514</v>
      </c>
    </row>
    <row r="103" spans="1:10">
      <c r="A103">
        <v>50.5</v>
      </c>
      <c r="B103" s="4">
        <v>63201</v>
      </c>
      <c r="C103">
        <v>0.43209151992901568</v>
      </c>
      <c r="D103">
        <v>0.45807702898065161</v>
      </c>
      <c r="E103">
        <v>8.2251577321086899E-3</v>
      </c>
      <c r="F103">
        <v>0.51111111111111107</v>
      </c>
      <c r="J103">
        <f t="shared" si="3"/>
        <v>0.5489727973866656</v>
      </c>
    </row>
    <row r="104" spans="1:10">
      <c r="A104">
        <v>51</v>
      </c>
      <c r="B104" s="4">
        <v>63382</v>
      </c>
      <c r="C104">
        <v>0.42979759775090948</v>
      </c>
      <c r="D104">
        <v>0.45617770642395977</v>
      </c>
      <c r="E104">
        <v>8.2811107833842199E-3</v>
      </c>
      <c r="F104">
        <v>0.50277777777777777</v>
      </c>
      <c r="J104">
        <f t="shared" si="3"/>
        <v>0.55076228481826228</v>
      </c>
    </row>
    <row r="105" spans="1:10">
      <c r="A105">
        <v>51.5</v>
      </c>
      <c r="B105" s="4">
        <v>63566</v>
      </c>
      <c r="C105">
        <v>0.42749820729406318</v>
      </c>
      <c r="D105">
        <v>0.45424265881200709</v>
      </c>
      <c r="E105">
        <v>8.3346701275028908E-3</v>
      </c>
      <c r="F105">
        <v>0.51111111111111107</v>
      </c>
      <c r="J105">
        <f t="shared" si="3"/>
        <v>0.55258340260429739</v>
      </c>
    </row>
    <row r="106" spans="1:10">
      <c r="A106">
        <v>52</v>
      </c>
      <c r="B106" s="4">
        <v>63747</v>
      </c>
      <c r="C106">
        <v>0.42526686220753063</v>
      </c>
      <c r="D106">
        <v>0.45233577293794869</v>
      </c>
      <c r="E106">
        <v>8.3847031627381999E-3</v>
      </c>
      <c r="F106">
        <v>0.50277777777777777</v>
      </c>
      <c r="J106">
        <f t="shared" si="3"/>
        <v>0.55437617562992303</v>
      </c>
    </row>
    <row r="107" spans="1:10">
      <c r="A107">
        <v>52.5</v>
      </c>
      <c r="B107" s="4">
        <v>63933</v>
      </c>
      <c r="C107">
        <v>0.42300395048401113</v>
      </c>
      <c r="D107">
        <v>0.45037351900654238</v>
      </c>
      <c r="E107">
        <v>8.4328022734497608E-3</v>
      </c>
      <c r="F107">
        <v>0.51666666666666672</v>
      </c>
      <c r="J107">
        <f t="shared" si="3"/>
        <v>0.55621918177883822</v>
      </c>
    </row>
    <row r="108" spans="1:10">
      <c r="A108">
        <v>53</v>
      </c>
      <c r="B108" s="4">
        <v>64112</v>
      </c>
      <c r="C108">
        <v>0.42085359185350152</v>
      </c>
      <c r="D108">
        <v>0.44848329287351291</v>
      </c>
      <c r="E108">
        <v>8.4771553101963201E-3</v>
      </c>
      <c r="F108">
        <v>0.49722222222222218</v>
      </c>
      <c r="J108">
        <f t="shared" si="3"/>
        <v>0.55799309229472238</v>
      </c>
    </row>
    <row r="109" spans="1:10">
      <c r="A109">
        <v>53.5</v>
      </c>
      <c r="B109" s="4">
        <v>64297</v>
      </c>
      <c r="C109">
        <v>0.41865796586185228</v>
      </c>
      <c r="D109">
        <v>0.44652860355843721</v>
      </c>
      <c r="E109">
        <v>8.5184234961502292E-3</v>
      </c>
      <c r="F109">
        <v>0.51388888888888884</v>
      </c>
      <c r="J109">
        <f t="shared" si="3"/>
        <v>0.55982577724708593</v>
      </c>
    </row>
    <row r="110" spans="1:10">
      <c r="A110">
        <v>54</v>
      </c>
      <c r="B110" s="4">
        <v>64479</v>
      </c>
      <c r="C110">
        <v>0.41652316909722831</v>
      </c>
      <c r="D110">
        <v>0.44460526621556679</v>
      </c>
      <c r="E110">
        <v>8.5568116809111999E-3</v>
      </c>
      <c r="F110">
        <v>0.50555555555555554</v>
      </c>
      <c r="J110">
        <f t="shared" si="3"/>
        <v>0.56162763301931828</v>
      </c>
    </row>
    <row r="111" spans="1:10">
      <c r="A111">
        <v>54.5</v>
      </c>
      <c r="B111" s="4">
        <v>64662</v>
      </c>
      <c r="C111">
        <v>0.41440051403291073</v>
      </c>
      <c r="D111">
        <v>0.44267175799546321</v>
      </c>
      <c r="E111">
        <v>8.5926166609796902E-3</v>
      </c>
      <c r="F111">
        <v>0.5083333333333333</v>
      </c>
      <c r="J111">
        <f t="shared" si="3"/>
        <v>0.56343769860626047</v>
      </c>
    </row>
    <row r="112" spans="1:10">
      <c r="A112">
        <v>55</v>
      </c>
      <c r="B112" s="4">
        <v>64843</v>
      </c>
      <c r="C112">
        <v>0.41232330304732701</v>
      </c>
      <c r="D112">
        <v>0.4407604879776853</v>
      </c>
      <c r="E112">
        <v>8.6246864987292293E-3</v>
      </c>
      <c r="F112">
        <v>0.50277777777777777</v>
      </c>
      <c r="J112">
        <f t="shared" si="3"/>
        <v>0.56522565643878153</v>
      </c>
    </row>
    <row r="113" spans="1:10">
      <c r="A113">
        <v>55.5</v>
      </c>
      <c r="B113" s="4">
        <v>65027</v>
      </c>
      <c r="C113">
        <v>0.41023303462068861</v>
      </c>
      <c r="D113">
        <v>0.43881938792169117</v>
      </c>
      <c r="E113">
        <v>8.6545958585986602E-3</v>
      </c>
      <c r="F113">
        <v>0.51111111111111107</v>
      </c>
      <c r="J113">
        <f t="shared" si="3"/>
        <v>0.56704030590138677</v>
      </c>
    </row>
    <row r="114" spans="1:10">
      <c r="A114">
        <v>56</v>
      </c>
      <c r="B114" s="4">
        <v>65208</v>
      </c>
      <c r="C114">
        <v>0.40819661459807471</v>
      </c>
      <c r="D114">
        <v>0.43691244865275902</v>
      </c>
      <c r="E114">
        <v>8.6809322952843097E-3</v>
      </c>
      <c r="F114">
        <v>0.50277777777777777</v>
      </c>
      <c r="J114">
        <f t="shared" si="3"/>
        <v>0.56882191261967208</v>
      </c>
    </row>
    <row r="115" spans="1:10">
      <c r="A115">
        <v>56.5</v>
      </c>
      <c r="B115" s="4">
        <v>65392</v>
      </c>
      <c r="C115">
        <v>0.40614527843017612</v>
      </c>
      <c r="D115">
        <v>0.43497715428004807</v>
      </c>
      <c r="E115">
        <v>8.7049296142755594E-3</v>
      </c>
      <c r="F115">
        <v>0.51111111111111107</v>
      </c>
      <c r="J115">
        <f t="shared" si="3"/>
        <v>0.57062892860686798</v>
      </c>
    </row>
    <row r="116" spans="1:10">
      <c r="A116">
        <v>57</v>
      </c>
      <c r="B116" s="4">
        <v>65573</v>
      </c>
      <c r="C116">
        <v>0.40414470883480152</v>
      </c>
      <c r="D116">
        <v>0.43307728307130727</v>
      </c>
      <c r="E116">
        <v>8.7253465216486307E-3</v>
      </c>
      <c r="F116">
        <v>0.50277777777777777</v>
      </c>
      <c r="J116">
        <f t="shared" si="3"/>
        <v>0.57240187520668706</v>
      </c>
    </row>
    <row r="117" spans="1:10">
      <c r="A117">
        <v>57.5</v>
      </c>
      <c r="B117" s="4">
        <v>65757</v>
      </c>
      <c r="C117">
        <v>0.40212737607779281</v>
      </c>
      <c r="D117">
        <v>0.43115052977559809</v>
      </c>
      <c r="E117">
        <v>8.7434305391164303E-3</v>
      </c>
      <c r="F117">
        <v>0.51111111111111107</v>
      </c>
      <c r="J117">
        <f t="shared" si="3"/>
        <v>0.57419892796122274</v>
      </c>
    </row>
    <row r="118" spans="1:10">
      <c r="A118">
        <v>58</v>
      </c>
      <c r="B118" s="4">
        <v>65939</v>
      </c>
      <c r="C118">
        <v>0.40014705654540328</v>
      </c>
      <c r="D118">
        <v>0.42924994370055652</v>
      </c>
      <c r="E118">
        <v>8.7580699374005203E-3</v>
      </c>
      <c r="F118">
        <v>0.50555555555555554</v>
      </c>
      <c r="J118">
        <f t="shared" si="3"/>
        <v>0.57597065544727122</v>
      </c>
    </row>
    <row r="119" spans="1:10">
      <c r="A119">
        <v>58.5</v>
      </c>
      <c r="B119" s="4">
        <v>66124</v>
      </c>
      <c r="C119">
        <v>0.39814828570278787</v>
      </c>
      <c r="D119">
        <v>0.42732401412408821</v>
      </c>
      <c r="E119">
        <v>8.77028841729857E-3</v>
      </c>
      <c r="F119">
        <v>0.51388888888888884</v>
      </c>
      <c r="J119">
        <f t="shared" si="3"/>
        <v>0.57776509136453869</v>
      </c>
    </row>
    <row r="120" spans="1:10">
      <c r="A120">
        <v>59</v>
      </c>
      <c r="B120" s="4">
        <v>66306</v>
      </c>
      <c r="C120">
        <v>0.39619474870736199</v>
      </c>
      <c r="D120">
        <v>0.42543583897085763</v>
      </c>
      <c r="E120">
        <v>8.7788841684794394E-3</v>
      </c>
      <c r="F120">
        <v>0.50555555555555554</v>
      </c>
      <c r="J120">
        <f t="shared" si="3"/>
        <v>0.57952348831144218</v>
      </c>
    </row>
    <row r="121" spans="1:10">
      <c r="A121">
        <v>59.5</v>
      </c>
      <c r="B121" s="4">
        <v>66488</v>
      </c>
      <c r="C121">
        <v>0.39425281878583501</v>
      </c>
      <c r="D121">
        <v>0.4235547524322909</v>
      </c>
      <c r="E121">
        <v>8.7850042128156895E-3</v>
      </c>
      <c r="F121">
        <v>0.50555555555555554</v>
      </c>
      <c r="J121">
        <f t="shared" si="3"/>
        <v>0.58127448638549373</v>
      </c>
    </row>
    <row r="122" spans="1:10">
      <c r="A122">
        <v>60</v>
      </c>
      <c r="B122" s="4">
        <v>66670</v>
      </c>
      <c r="C122">
        <v>0.39232141315840419</v>
      </c>
      <c r="D122">
        <v>0.42168135874896218</v>
      </c>
      <c r="E122">
        <v>8.7877109154303693E-3</v>
      </c>
      <c r="F122">
        <v>0.50555555555555554</v>
      </c>
      <c r="G122">
        <v>1.609</v>
      </c>
      <c r="H122">
        <v>0.99722222222222223</v>
      </c>
      <c r="I122">
        <v>36.236229389371289</v>
      </c>
      <c r="J122">
        <f t="shared" si="3"/>
        <v>0.58301744334101591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0920F-0FCF-4CD4-8E3A-A7AC0A1EAB77}">
  <sheetPr codeName="Sheet5"/>
  <dimension ref="A1:P122"/>
  <sheetViews>
    <sheetView tabSelected="1" zoomScaleNormal="100" workbookViewId="0">
      <pane ySplit="1" topLeftCell="A2" activePane="bottomLeft" state="frozen"/>
      <selection pane="bottomLeft" activeCell="P16" sqref="P16"/>
    </sheetView>
  </sheetViews>
  <sheetFormatPr defaultRowHeight="14.4"/>
  <cols>
    <col min="1" max="2" width="10.77734375" bestFit="1" customWidth="1"/>
    <col min="3" max="8" width="9.5546875" bestFit="1" customWidth="1"/>
    <col min="9" max="9" width="10.5546875" bestFit="1" customWidth="1"/>
    <col min="10" max="12" width="9.5546875" bestFit="1" customWidth="1"/>
    <col min="13" max="13" width="10.6640625" bestFit="1" customWidth="1"/>
    <col min="15" max="15" width="10.5546875" bestFit="1" customWidth="1"/>
    <col min="16" max="16" width="12.664062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9" t="s">
        <v>18</v>
      </c>
      <c r="L1" s="9"/>
      <c r="M1" s="10" t="s">
        <v>19</v>
      </c>
    </row>
    <row r="2" spans="1:13">
      <c r="A2">
        <v>0</v>
      </c>
      <c r="B2" s="4">
        <v>44754</v>
      </c>
      <c r="D2">
        <v>1</v>
      </c>
      <c r="E2">
        <v>0</v>
      </c>
      <c r="F2">
        <v>0</v>
      </c>
      <c r="K2">
        <f>K3*(1+G3/100*F3)</f>
        <v>0.99999998507289478</v>
      </c>
    </row>
    <row r="3" spans="1:13">
      <c r="A3">
        <v>0.5</v>
      </c>
      <c r="B3" s="4">
        <v>44938</v>
      </c>
      <c r="C3" s="14">
        <v>0.99904288423151055</v>
      </c>
      <c r="D3" s="14">
        <v>0.99801063213993446</v>
      </c>
      <c r="E3" s="14">
        <v>3.89999999999991E-3</v>
      </c>
      <c r="F3" s="14">
        <v>0.51111111111111107</v>
      </c>
      <c r="G3" s="14">
        <v>0.38993569920413085</v>
      </c>
      <c r="H3" s="14"/>
      <c r="I3" s="14"/>
      <c r="J3" s="14">
        <f>E3*F3*C3</f>
        <v>1.9914254825680981E-3</v>
      </c>
      <c r="K3" s="14">
        <f>K4*(1+G4/100*F4)</f>
        <v>0.99801094458483441</v>
      </c>
      <c r="L3" s="14"/>
      <c r="M3" s="14">
        <f t="shared" ref="M3:M5" si="0">K3</f>
        <v>0.99801094458483441</v>
      </c>
    </row>
    <row r="4" spans="1:13">
      <c r="A4">
        <v>1</v>
      </c>
      <c r="B4" s="4">
        <v>45119</v>
      </c>
      <c r="C4" s="14">
        <v>0.99324592130854139</v>
      </c>
      <c r="D4" s="14">
        <v>0.99104474380986662</v>
      </c>
      <c r="E4" s="14">
        <v>1.3979999999904E-2</v>
      </c>
      <c r="F4" s="14">
        <v>0.50277777777777777</v>
      </c>
      <c r="G4" s="14">
        <v>1.3971913033539496</v>
      </c>
      <c r="H4" s="14">
        <v>1</v>
      </c>
      <c r="I4" s="14">
        <v>0.99324592130854139</v>
      </c>
      <c r="J4" s="14">
        <f t="shared" ref="J4:J35" si="1">J3+(E4*F4*C4)</f>
        <v>8.9727855224110108E-3</v>
      </c>
      <c r="K4" s="14">
        <f>K5*(1+G5/100*F5)</f>
        <v>0.99104905550151667</v>
      </c>
      <c r="L4" s="14"/>
      <c r="M4" s="14">
        <f t="shared" si="0"/>
        <v>0.99104905550151667</v>
      </c>
    </row>
    <row r="5" spans="1:13">
      <c r="A5">
        <v>1.5</v>
      </c>
      <c r="B5" s="4">
        <v>45303</v>
      </c>
      <c r="C5" s="14">
        <v>0.9860284425870447</v>
      </c>
      <c r="D5" s="14">
        <v>0.98259746260138792</v>
      </c>
      <c r="E5" s="14">
        <v>1.6819999999980999E-2</v>
      </c>
      <c r="F5" s="14">
        <v>0.51111111111111107</v>
      </c>
      <c r="G5" s="14">
        <v>1.6808118067865732</v>
      </c>
      <c r="H5" s="14"/>
      <c r="I5" s="14"/>
      <c r="J5" s="14">
        <f t="shared" si="1"/>
        <v>1.7449562484606416E-2</v>
      </c>
      <c r="K5" s="14">
        <f>(K6*(G6/100*I6-J5+C6)/C6)</f>
        <v>0.9826076540423776</v>
      </c>
      <c r="L5" s="14"/>
      <c r="M5" s="14">
        <f t="shared" si="0"/>
        <v>0.9826076540423776</v>
      </c>
    </row>
    <row r="6" spans="1:13">
      <c r="A6">
        <v>2</v>
      </c>
      <c r="B6" s="4">
        <v>45485</v>
      </c>
      <c r="C6" s="14">
        <v>0.97878176388692029</v>
      </c>
      <c r="D6" s="14">
        <v>0.97444692296927427</v>
      </c>
      <c r="E6" s="14">
        <v>1.6544714899334002E-2</v>
      </c>
      <c r="F6" s="14">
        <v>0.50555555555555554</v>
      </c>
      <c r="G6" s="14">
        <v>1.297201402935324</v>
      </c>
      <c r="H6" s="14">
        <v>1</v>
      </c>
      <c r="I6" s="14">
        <v>1.9720276851954619</v>
      </c>
      <c r="J6" s="14">
        <f t="shared" si="1"/>
        <v>2.5636359907540013E-2</v>
      </c>
      <c r="K6" s="14">
        <f>K7*(1+E7*F7)</f>
        <v>0.97451152241208694</v>
      </c>
      <c r="L6" s="14"/>
      <c r="M6" s="14">
        <f>K6</f>
        <v>0.97451152241208694</v>
      </c>
    </row>
    <row r="7" spans="1:13">
      <c r="A7">
        <v>2.5</v>
      </c>
      <c r="B7" s="4">
        <v>45670</v>
      </c>
      <c r="C7" s="14">
        <v>0.9715063307647499</v>
      </c>
      <c r="D7" s="14">
        <v>0.96605078949251333</v>
      </c>
      <c r="E7" s="14">
        <v>1.69125910132602E-2</v>
      </c>
      <c r="F7" s="14">
        <v>0.51388888888888884</v>
      </c>
      <c r="G7" s="14">
        <v>0</v>
      </c>
      <c r="H7" s="14"/>
      <c r="I7" s="14"/>
      <c r="J7" s="14">
        <f t="shared" si="1"/>
        <v>3.4079908544257236E-2</v>
      </c>
      <c r="K7" s="14">
        <f>(K8*(G8/100*I8-J7+C8)/C8)</f>
        <v>0.96611483232671902</v>
      </c>
      <c r="L7" s="14"/>
      <c r="M7" s="14"/>
    </row>
    <row r="8" spans="1:13">
      <c r="A8">
        <v>3</v>
      </c>
      <c r="B8" s="4">
        <v>45852</v>
      </c>
      <c r="C8" s="14">
        <v>0.96404622206233692</v>
      </c>
      <c r="D8" s="14">
        <v>0.95729638500968794</v>
      </c>
      <c r="E8" s="14">
        <v>1.8088864371244101E-2</v>
      </c>
      <c r="F8" s="14">
        <v>0.50555555555555554</v>
      </c>
      <c r="G8" s="14">
        <v>1.455651518588255</v>
      </c>
      <c r="H8" s="14">
        <v>1.005555555555556</v>
      </c>
      <c r="I8" s="14">
        <v>2.9414297196025889</v>
      </c>
      <c r="J8" s="14">
        <f t="shared" si="1"/>
        <v>4.2896039786607928E-2</v>
      </c>
      <c r="K8" s="14">
        <f>K9*(1+E9*F9)</f>
        <v>0.95743766718421675</v>
      </c>
      <c r="L8" s="14"/>
      <c r="M8" s="14">
        <f t="shared" ref="M8" si="2">K8</f>
        <v>0.95743766718421675</v>
      </c>
    </row>
    <row r="9" spans="1:13">
      <c r="A9">
        <v>3.5</v>
      </c>
      <c r="B9" s="4">
        <v>46034</v>
      </c>
      <c r="C9" s="14">
        <v>0.95592389246503651</v>
      </c>
      <c r="D9" s="14">
        <v>0.94796491452005915</v>
      </c>
      <c r="E9" s="14">
        <v>1.9479741902559099E-2</v>
      </c>
      <c r="F9" s="14">
        <v>0.50555555555555554</v>
      </c>
      <c r="G9" s="14">
        <v>0</v>
      </c>
      <c r="H9" s="14"/>
      <c r="I9" s="14"/>
      <c r="J9" s="14">
        <f t="shared" si="1"/>
        <v>5.2310065975705033E-2</v>
      </c>
      <c r="K9" s="14">
        <f>(K10*(G10/100*I10-J9+C10)/C10)</f>
        <v>0.94810068466324982</v>
      </c>
      <c r="L9" s="14"/>
      <c r="M9" s="14"/>
    </row>
    <row r="10" spans="1:13">
      <c r="A10">
        <v>4</v>
      </c>
      <c r="B10" s="4">
        <v>46216</v>
      </c>
      <c r="C10" s="14">
        <v>0.94713494159022615</v>
      </c>
      <c r="D10" s="14">
        <v>0.93807952562658103</v>
      </c>
      <c r="E10" s="14">
        <v>2.0844199194661701E-2</v>
      </c>
      <c r="F10" s="14">
        <v>0.50555555555555554</v>
      </c>
      <c r="G10" s="14">
        <v>1.5953422579343473</v>
      </c>
      <c r="H10" s="14">
        <v>0.99722222222222223</v>
      </c>
      <c r="I10" s="14">
        <v>3.885933730799509</v>
      </c>
      <c r="J10" s="14">
        <f t="shared" si="1"/>
        <v>6.2290879943441235E-2</v>
      </c>
      <c r="K10" s="14">
        <f>K11*(1+E11*F11)</f>
        <v>0.93850504316265526</v>
      </c>
      <c r="L10" s="14"/>
      <c r="M10" s="14">
        <f t="shared" ref="M10" si="3">K10</f>
        <v>0.93850504316265526</v>
      </c>
    </row>
    <row r="11" spans="1:13">
      <c r="A11">
        <v>4.5</v>
      </c>
      <c r="B11" s="4">
        <v>46399</v>
      </c>
      <c r="C11" s="14">
        <v>0.9377546742182391</v>
      </c>
      <c r="D11" s="14">
        <v>0.92766793341618325</v>
      </c>
      <c r="E11" s="14">
        <v>2.2082122249332401E-2</v>
      </c>
      <c r="F11" s="14">
        <v>0.5083333333333333</v>
      </c>
      <c r="G11" s="14">
        <v>0</v>
      </c>
      <c r="H11" s="14"/>
      <c r="I11" s="14"/>
      <c r="J11" s="14">
        <f t="shared" si="1"/>
        <v>7.2817250066059339E-2</v>
      </c>
      <c r="K11" s="14">
        <f>(K12*(G12/100*I12-J11+C12)/C12)</f>
        <v>0.928087191297715</v>
      </c>
      <c r="L11" s="14"/>
      <c r="M11" s="14"/>
    </row>
    <row r="12" spans="1:13">
      <c r="A12">
        <v>5</v>
      </c>
      <c r="B12" s="4">
        <v>46580</v>
      </c>
      <c r="C12" s="14">
        <v>0.92824283734542401</v>
      </c>
      <c r="D12" s="14">
        <v>0.91712844122432902</v>
      </c>
      <c r="E12" s="14">
        <v>2.2856695926326401E-2</v>
      </c>
      <c r="F12" s="14">
        <v>0.50277777777777777</v>
      </c>
      <c r="G12" s="14">
        <v>1.7222124080303682</v>
      </c>
      <c r="H12" s="14">
        <v>0.99722222222222223</v>
      </c>
      <c r="I12" s="14">
        <v>4.811598115818974</v>
      </c>
      <c r="J12" s="14">
        <f t="shared" si="1"/>
        <v>8.3484467106331728E-2</v>
      </c>
      <c r="K12" s="14">
        <f>K13*(1+E13*F13)</f>
        <v>0.91814778553792398</v>
      </c>
      <c r="L12" s="14"/>
      <c r="M12" s="14">
        <f t="shared" ref="M12" si="4">K12</f>
        <v>0.91814778553792398</v>
      </c>
    </row>
    <row r="13" spans="1:13">
      <c r="A13">
        <v>5.5</v>
      </c>
      <c r="B13" s="4">
        <v>46764</v>
      </c>
      <c r="C13" s="14">
        <v>0.9185963965955859</v>
      </c>
      <c r="D13" s="14">
        <v>0.90637502877283138</v>
      </c>
      <c r="E13" s="14">
        <v>2.3212560544255901E-2</v>
      </c>
      <c r="F13" s="14">
        <v>0.51111111111111107</v>
      </c>
      <c r="G13" s="14">
        <v>0</v>
      </c>
      <c r="H13" s="14"/>
      <c r="I13" s="14"/>
      <c r="J13" s="14">
        <f t="shared" si="1"/>
        <v>9.438287628076146E-2</v>
      </c>
      <c r="K13" s="14">
        <f>(K14*(G14/100*I14-J13+C14)/C14)</f>
        <v>0.90738242118379042</v>
      </c>
      <c r="L13" s="14"/>
      <c r="M13" s="14"/>
    </row>
    <row r="14" spans="1:13">
      <c r="A14">
        <v>6</v>
      </c>
      <c r="B14" s="4">
        <v>46946</v>
      </c>
      <c r="C14" s="14">
        <v>0.90901718303320767</v>
      </c>
      <c r="D14" s="14">
        <v>0.89571111788568369</v>
      </c>
      <c r="E14" s="14">
        <v>2.3549389624901301E-2</v>
      </c>
      <c r="F14" s="14">
        <v>0.50555555555555554</v>
      </c>
      <c r="G14" s="14">
        <v>1.8215628660587473</v>
      </c>
      <c r="H14" s="14">
        <v>1</v>
      </c>
      <c r="I14" s="14">
        <v>5.7206152988521817</v>
      </c>
      <c r="J14" s="14">
        <f t="shared" si="1"/>
        <v>0.10520520285591206</v>
      </c>
      <c r="K14" s="14">
        <f>K15*(1+E15*F15)</f>
        <v>0.89768315511181196</v>
      </c>
      <c r="L14" s="14"/>
      <c r="M14" s="14">
        <f t="shared" ref="M14" si="5">K14</f>
        <v>0.89768315511181196</v>
      </c>
    </row>
    <row r="15" spans="1:13">
      <c r="A15">
        <v>6.5</v>
      </c>
      <c r="B15" s="4">
        <v>47130</v>
      </c>
      <c r="C15" s="14">
        <v>0.89917826917514665</v>
      </c>
      <c r="D15" s="14">
        <v>0.88485868785708344</v>
      </c>
      <c r="E15" s="14">
        <v>2.39959391987998E-2</v>
      </c>
      <c r="F15" s="14">
        <v>0.51111111111111107</v>
      </c>
      <c r="G15" s="14">
        <v>0</v>
      </c>
      <c r="H15" s="14"/>
      <c r="I15" s="14"/>
      <c r="J15" s="14">
        <f t="shared" si="1"/>
        <v>0.11623325669476103</v>
      </c>
      <c r="K15" s="14">
        <f>(K16*(G16/100*I16-J15+C16)/C16)</f>
        <v>0.88680683189311604</v>
      </c>
      <c r="L15" s="14"/>
      <c r="M15" s="14"/>
    </row>
    <row r="16" spans="1:13">
      <c r="A16">
        <v>7</v>
      </c>
      <c r="B16" s="4">
        <v>47311</v>
      </c>
      <c r="C16" s="14">
        <v>0.8893123052047649</v>
      </c>
      <c r="D16" s="14">
        <v>0.8740370041426615</v>
      </c>
      <c r="E16" s="14">
        <v>2.4625720319847801E-2</v>
      </c>
      <c r="F16" s="14">
        <v>0.50277777777777777</v>
      </c>
      <c r="G16" s="14">
        <v>1.9024411977024824</v>
      </c>
      <c r="H16" s="14">
        <v>1</v>
      </c>
      <c r="I16" s="14">
        <v>6.6099276040569466</v>
      </c>
      <c r="J16" s="14">
        <f t="shared" si="1"/>
        <v>0.12724406795864956</v>
      </c>
      <c r="K16" s="14">
        <f>K17*(1+E17*F17)</f>
        <v>0.87741739281850839</v>
      </c>
      <c r="L16" s="14"/>
      <c r="M16" s="14">
        <f t="shared" ref="M16" si="6">K16</f>
        <v>0.87741739281850839</v>
      </c>
    </row>
    <row r="17" spans="1:13">
      <c r="A17">
        <v>7.5</v>
      </c>
      <c r="B17" s="4">
        <v>47497</v>
      </c>
      <c r="C17" s="14">
        <v>0.87897161571716564</v>
      </c>
      <c r="D17" s="14">
        <v>0.86271292715050496</v>
      </c>
      <c r="E17" s="14">
        <v>2.5405401590895899E-2</v>
      </c>
      <c r="F17" s="14">
        <v>0.51666666666666672</v>
      </c>
      <c r="G17" s="14">
        <v>0</v>
      </c>
      <c r="H17" s="14"/>
      <c r="I17" s="14"/>
      <c r="J17" s="14">
        <f t="shared" si="1"/>
        <v>0.13878155851553439</v>
      </c>
      <c r="K17" s="14">
        <f>(K18*(G18/100*I18-J17+C18)/C18)</f>
        <v>0.86604951930349605</v>
      </c>
      <c r="L17" s="14"/>
      <c r="M17" s="14"/>
    </row>
    <row r="18" spans="1:13">
      <c r="A18">
        <v>8</v>
      </c>
      <c r="B18" s="4">
        <v>47676</v>
      </c>
      <c r="C18" s="14">
        <v>0.86884980767765363</v>
      </c>
      <c r="D18" s="14">
        <v>0.85168947472002765</v>
      </c>
      <c r="E18" s="14">
        <v>2.6037552195365E-2</v>
      </c>
      <c r="F18" s="14">
        <v>0.49722222222222218</v>
      </c>
      <c r="G18" s="14">
        <v>1.9776392100876601</v>
      </c>
      <c r="H18" s="14">
        <v>1</v>
      </c>
      <c r="I18" s="14">
        <v>7.4787774117346002</v>
      </c>
      <c r="J18" s="14">
        <f t="shared" si="1"/>
        <v>0.15003007872915611</v>
      </c>
      <c r="K18" s="14">
        <f>K19*(1+E19*F19)</f>
        <v>0.85705170642004924</v>
      </c>
      <c r="L18" s="14"/>
      <c r="M18" s="14">
        <f t="shared" ref="M18" si="7">K18</f>
        <v>0.85705170642004924</v>
      </c>
    </row>
    <row r="19" spans="1:13">
      <c r="A19">
        <v>8.5</v>
      </c>
      <c r="B19" s="4">
        <v>47861</v>
      </c>
      <c r="C19" s="14">
        <v>0.85822803261302394</v>
      </c>
      <c r="D19" s="14">
        <v>0.84022535250532049</v>
      </c>
      <c r="E19" s="14">
        <v>2.6550689146691599E-2</v>
      </c>
      <c r="F19" s="14">
        <v>0.51388888888888884</v>
      </c>
      <c r="G19" s="14">
        <v>0</v>
      </c>
      <c r="H19" s="14"/>
      <c r="I19" s="14"/>
      <c r="J19" s="14">
        <f t="shared" si="1"/>
        <v>0.16173983138613873</v>
      </c>
      <c r="K19" s="14">
        <f>(K20*(G20/100*I20-J19+C20)/C20)</f>
        <v>0.84551540616231435</v>
      </c>
      <c r="L19" s="14"/>
      <c r="M19" s="14"/>
    </row>
    <row r="20" spans="1:13">
      <c r="A20">
        <v>9</v>
      </c>
      <c r="B20" s="4">
        <v>48043</v>
      </c>
      <c r="C20" s="14">
        <v>0.84757139217307043</v>
      </c>
      <c r="D20" s="14">
        <v>0.82878111312407454</v>
      </c>
      <c r="E20" s="14">
        <v>2.73135531920118E-2</v>
      </c>
      <c r="F20" s="14">
        <v>0.50555555555555554</v>
      </c>
      <c r="G20" s="14">
        <v>2.0481034742418656</v>
      </c>
      <c r="H20" s="14">
        <v>1.005555555555556</v>
      </c>
      <c r="I20" s="14">
        <v>8.3310575338641879</v>
      </c>
      <c r="J20" s="14">
        <f t="shared" si="1"/>
        <v>0.1734435366843462</v>
      </c>
      <c r="K20" s="14">
        <f>K21*(1+E21*F21)</f>
        <v>0.83674015066591045</v>
      </c>
      <c r="L20" s="14"/>
      <c r="M20" s="14">
        <f t="shared" ref="M20" si="8">K20</f>
        <v>0.83674015066591045</v>
      </c>
    </row>
    <row r="21" spans="1:13">
      <c r="A21">
        <v>9.5</v>
      </c>
      <c r="B21" s="4">
        <v>48225</v>
      </c>
      <c r="C21" s="14">
        <v>0.83669069416023167</v>
      </c>
      <c r="D21" s="14">
        <v>0.81711882271219038</v>
      </c>
      <c r="E21" s="14">
        <v>2.8236771671545199E-2</v>
      </c>
      <c r="F21" s="14">
        <v>0.50555555555555554</v>
      </c>
      <c r="G21" s="14">
        <v>0</v>
      </c>
      <c r="H21" s="14"/>
      <c r="I21" s="14"/>
      <c r="J21" s="14">
        <f t="shared" si="1"/>
        <v>0.18538751119687136</v>
      </c>
      <c r="K21" s="14">
        <f>(K22*(G22/100*I22-J21+C22)/C22)</f>
        <v>0.8249635836670739</v>
      </c>
      <c r="L21" s="14"/>
      <c r="M21" s="14"/>
    </row>
    <row r="22" spans="1:13">
      <c r="A22">
        <v>10</v>
      </c>
      <c r="B22" s="4">
        <v>48407</v>
      </c>
      <c r="C22" s="14">
        <v>0.8257303052243582</v>
      </c>
      <c r="D22" s="14">
        <v>0.80547248666946025</v>
      </c>
      <c r="E22" s="14">
        <v>2.8600242760871801E-2</v>
      </c>
      <c r="F22" s="14">
        <v>0.50555555555555554</v>
      </c>
      <c r="G22" s="14">
        <v>2.1138500933713145</v>
      </c>
      <c r="H22" s="14">
        <v>0.99444444444444446</v>
      </c>
      <c r="I22" s="14">
        <v>9.152200448503967</v>
      </c>
      <c r="J22" s="14">
        <f t="shared" si="1"/>
        <v>0.19732675527344198</v>
      </c>
      <c r="K22" s="14">
        <f>K23*(1+E23*F23)</f>
        <v>0.81697295089458721</v>
      </c>
      <c r="L22" s="14"/>
      <c r="M22" s="14">
        <f t="shared" ref="M22" si="9">K22</f>
        <v>0.81697295089458721</v>
      </c>
    </row>
    <row r="23" spans="1:13">
      <c r="A23">
        <v>10.5</v>
      </c>
      <c r="B23" s="4">
        <v>48591</v>
      </c>
      <c r="C23" s="14">
        <v>0.8146912703004634</v>
      </c>
      <c r="D23" s="14">
        <v>0.79392771566848708</v>
      </c>
      <c r="E23" s="14">
        <v>2.8450443271989499E-2</v>
      </c>
      <c r="F23" s="14">
        <v>0.51111111111111107</v>
      </c>
      <c r="G23" s="14">
        <v>0</v>
      </c>
      <c r="H23" s="14"/>
      <c r="I23" s="14"/>
      <c r="J23" s="14">
        <f t="shared" si="1"/>
        <v>0.20917345613359695</v>
      </c>
      <c r="K23" s="14">
        <f>(K24*(G24/100*I24-J23+C24)/C24)</f>
        <v>0.80526334468436567</v>
      </c>
      <c r="L23" s="14"/>
      <c r="M23" s="14"/>
    </row>
    <row r="24" spans="1:13">
      <c r="A24">
        <v>11</v>
      </c>
      <c r="B24" s="4">
        <v>48772</v>
      </c>
      <c r="C24" s="14">
        <v>0.8037668893231964</v>
      </c>
      <c r="D24" s="14">
        <v>0.78267545028228147</v>
      </c>
      <c r="E24" s="14">
        <v>2.8594478516200401E-2</v>
      </c>
      <c r="F24" s="14">
        <v>0.50277777777777777</v>
      </c>
      <c r="G24" s="14">
        <v>2.1671658662704991</v>
      </c>
      <c r="H24" s="14">
        <v>1</v>
      </c>
      <c r="I24" s="14">
        <v>9.9559673378271629</v>
      </c>
      <c r="J24" s="14">
        <f t="shared" si="1"/>
        <v>0.22072894614423624</v>
      </c>
      <c r="K24" s="14">
        <f>K25*(1+E25*F25)</f>
        <v>0.7987158806004262</v>
      </c>
      <c r="L24" s="14"/>
      <c r="M24" s="14">
        <f t="shared" ref="M24" si="10">K24</f>
        <v>0.7987158806004262</v>
      </c>
    </row>
    <row r="25" spans="1:13">
      <c r="A25">
        <v>11.5</v>
      </c>
      <c r="B25" s="4">
        <v>48956</v>
      </c>
      <c r="C25" s="14">
        <v>0.79251290448087985</v>
      </c>
      <c r="D25" s="14">
        <v>0.77121663179798594</v>
      </c>
      <c r="E25" s="14">
        <v>2.90702074422408E-2</v>
      </c>
      <c r="F25" s="14">
        <v>0.51111111111111107</v>
      </c>
      <c r="G25" s="14">
        <v>0</v>
      </c>
      <c r="H25" s="14"/>
      <c r="I25" s="14"/>
      <c r="J25" s="14">
        <f t="shared" si="1"/>
        <v>0.23250418690601346</v>
      </c>
      <c r="K25" s="14">
        <f>(K26*(G26/100*I26-J25+C26)/C26)</f>
        <v>0.78702222099602237</v>
      </c>
      <c r="L25" s="14"/>
      <c r="M25" s="14"/>
    </row>
    <row r="26" spans="1:13">
      <c r="A26">
        <v>12</v>
      </c>
      <c r="B26" s="4">
        <v>49137</v>
      </c>
      <c r="C26" s="14">
        <v>0.78150798192835358</v>
      </c>
      <c r="D26" s="14">
        <v>0.76007457235941267</v>
      </c>
      <c r="E26" s="14">
        <v>2.9156352552981098E-2</v>
      </c>
      <c r="F26" s="14">
        <v>0.50277777777777777</v>
      </c>
      <c r="G26" s="14">
        <v>2.2139314362737674</v>
      </c>
      <c r="H26" s="14">
        <v>1</v>
      </c>
      <c r="I26" s="14">
        <v>10.73747531975552</v>
      </c>
      <c r="J26" s="14">
        <f t="shared" si="1"/>
        <v>0.24396044225650515</v>
      </c>
      <c r="K26" s="14">
        <f>K27*(1+E27*F27)</f>
        <v>0.78180408997042061</v>
      </c>
      <c r="L26" s="14"/>
      <c r="M26" s="14">
        <f t="shared" ref="M26" si="11">K26</f>
        <v>0.78180408997042061</v>
      </c>
    </row>
    <row r="27" spans="1:13">
      <c r="A27">
        <v>12.5</v>
      </c>
      <c r="B27" s="4">
        <v>49321</v>
      </c>
      <c r="C27" s="14">
        <v>0.77061478256932514</v>
      </c>
      <c r="D27" s="14">
        <v>0.74906175653772222</v>
      </c>
      <c r="E27" s="14">
        <v>2.8765069603566101E-2</v>
      </c>
      <c r="F27" s="14">
        <v>0.51111111111111107</v>
      </c>
      <c r="G27" s="14">
        <v>0</v>
      </c>
      <c r="H27" s="14"/>
      <c r="I27" s="14"/>
      <c r="J27" s="14">
        <f t="shared" si="1"/>
        <v>0.25529013382844523</v>
      </c>
      <c r="K27" s="14">
        <f>(K28*(G28/100*I28-J27+C28)/C28)</f>
        <v>0.77047643244234154</v>
      </c>
      <c r="L27" s="14"/>
      <c r="M27" s="14"/>
    </row>
    <row r="28" spans="1:13">
      <c r="A28">
        <v>13</v>
      </c>
      <c r="B28" s="4">
        <v>49502</v>
      </c>
      <c r="C28" s="14">
        <v>0.76021383187024028</v>
      </c>
      <c r="D28" s="14">
        <v>0.73859675986976769</v>
      </c>
      <c r="E28" s="14">
        <v>2.81809495309472E-2</v>
      </c>
      <c r="F28" s="14">
        <v>0.50277777777777777</v>
      </c>
      <c r="G28" s="14">
        <v>2.2476202370067044</v>
      </c>
      <c r="H28" s="14">
        <v>1</v>
      </c>
      <c r="I28" s="14">
        <v>11.49768915162576</v>
      </c>
      <c r="J28" s="14">
        <f t="shared" si="1"/>
        <v>0.26606141749730089</v>
      </c>
      <c r="K28" s="14">
        <f>K29*(1+E29*F29)</f>
        <v>0.76731290961514897</v>
      </c>
      <c r="L28" s="14"/>
      <c r="M28" s="14">
        <f t="shared" ref="M28" si="12">K28</f>
        <v>0.76731290961514897</v>
      </c>
    </row>
    <row r="29" spans="1:13">
      <c r="A29">
        <v>13.5</v>
      </c>
      <c r="B29" s="4">
        <v>49688</v>
      </c>
      <c r="C29" s="14">
        <v>0.7498602714689413</v>
      </c>
      <c r="D29" s="14">
        <v>0.72826345785213376</v>
      </c>
      <c r="E29" s="14">
        <v>2.7462505736529301E-2</v>
      </c>
      <c r="F29" s="14">
        <v>0.51666666666666672</v>
      </c>
      <c r="G29" s="14">
        <v>0</v>
      </c>
      <c r="H29" s="14"/>
      <c r="I29" s="14"/>
      <c r="J29" s="14">
        <f t="shared" si="1"/>
        <v>0.27670115586748667</v>
      </c>
      <c r="K29" s="14">
        <f>(K30*(G30/100*I30-J29+C30)/C30)</f>
        <v>0.75657785570226577</v>
      </c>
      <c r="L29" s="14"/>
      <c r="M29" s="14"/>
    </row>
    <row r="30" spans="1:13">
      <c r="A30">
        <v>14</v>
      </c>
      <c r="B30" s="4">
        <v>49870</v>
      </c>
      <c r="C30" s="14">
        <v>0.74018567472833596</v>
      </c>
      <c r="D30" s="14">
        <v>0.71863740591193315</v>
      </c>
      <c r="E30" s="14">
        <v>2.6495339851027901E-2</v>
      </c>
      <c r="F30" s="14">
        <v>0.50555555555555554</v>
      </c>
      <c r="G30" s="14">
        <v>2.2675453315686367</v>
      </c>
      <c r="H30" s="14">
        <v>1.005555555555556</v>
      </c>
      <c r="I30" s="14">
        <v>12.241986968991471</v>
      </c>
      <c r="J30" s="14">
        <f t="shared" si="1"/>
        <v>0.28661584398657475</v>
      </c>
      <c r="K30" s="14">
        <f>K31*(1+E31*F31)</f>
        <v>0.7556677615963302</v>
      </c>
      <c r="L30" s="14"/>
      <c r="M30" s="14">
        <f t="shared" ref="M30" si="13">K30</f>
        <v>0.7556677615963302</v>
      </c>
    </row>
    <row r="31" spans="1:13">
      <c r="A31">
        <v>14.5</v>
      </c>
      <c r="B31" s="4">
        <v>50052</v>
      </c>
      <c r="C31" s="14">
        <v>0.73104788279616695</v>
      </c>
      <c r="D31" s="14">
        <v>0.7095309602972194</v>
      </c>
      <c r="E31" s="14">
        <v>2.5383289016291E-2</v>
      </c>
      <c r="F31" s="14">
        <v>0.50555555555555554</v>
      </c>
      <c r="G31" s="14">
        <v>0</v>
      </c>
      <c r="H31" s="14"/>
      <c r="I31" s="14"/>
      <c r="J31" s="14">
        <f t="shared" si="1"/>
        <v>0.29599713494286589</v>
      </c>
      <c r="K31" s="14">
        <f>(K32*(G32/100*I32-J31+C32)/C32)</f>
        <v>0.74609339663459184</v>
      </c>
      <c r="L31" s="14"/>
      <c r="M31" s="14"/>
    </row>
    <row r="32" spans="1:13">
      <c r="A32">
        <v>15</v>
      </c>
      <c r="B32" s="4">
        <v>50234</v>
      </c>
      <c r="C32" s="14">
        <v>0.72227737271592507</v>
      </c>
      <c r="D32" s="14">
        <v>0.700838160456415</v>
      </c>
      <c r="E32" s="14">
        <v>2.4534264978464001E-2</v>
      </c>
      <c r="F32" s="14">
        <v>0.50555555555555554</v>
      </c>
      <c r="G32" s="14">
        <v>2.2713068455429384</v>
      </c>
      <c r="H32" s="14">
        <v>0.99722222222222223</v>
      </c>
      <c r="I32" s="14">
        <v>12.962258015672081</v>
      </c>
      <c r="J32" s="14">
        <f t="shared" si="1"/>
        <v>0.30495585463711411</v>
      </c>
      <c r="K32" s="14">
        <f>K33*(1+E33*F33)</f>
        <v>0.74773372227965729</v>
      </c>
      <c r="L32" s="14"/>
      <c r="M32" s="14">
        <f t="shared" ref="M32" si="14">K32</f>
        <v>0.74773372227965729</v>
      </c>
    </row>
    <row r="33" spans="1:13">
      <c r="A33">
        <v>15.5</v>
      </c>
      <c r="B33" s="4">
        <v>50417</v>
      </c>
      <c r="C33" s="14">
        <v>0.71366212197997081</v>
      </c>
      <c r="D33" s="14">
        <v>0.69241736243795082</v>
      </c>
      <c r="E33" s="14">
        <v>2.3922987110430501E-2</v>
      </c>
      <c r="F33" s="14">
        <v>0.5083333333333333</v>
      </c>
      <c r="G33" s="14">
        <v>0</v>
      </c>
      <c r="H33" s="14"/>
      <c r="I33" s="14"/>
      <c r="J33" s="14">
        <f t="shared" si="1"/>
        <v>0.31363459392432319</v>
      </c>
      <c r="K33" s="14">
        <f>(K34*(G34/100*I34-J33+C34)/C34)</f>
        <v>0.73874989431160432</v>
      </c>
      <c r="L33" s="14"/>
      <c r="M33" s="14"/>
    </row>
    <row r="34" spans="1:13">
      <c r="A34">
        <v>16</v>
      </c>
      <c r="B34" s="4">
        <v>50598</v>
      </c>
      <c r="C34" s="14">
        <v>0.70541109112485312</v>
      </c>
      <c r="D34" s="14">
        <v>0.68446812486706743</v>
      </c>
      <c r="E34" s="14">
        <v>2.3099159315272899E-2</v>
      </c>
      <c r="F34" s="14">
        <v>0.50277777777777777</v>
      </c>
      <c r="G34" s="14">
        <v>2.2665234808777384</v>
      </c>
      <c r="H34" s="14">
        <v>0.99722222222222223</v>
      </c>
      <c r="I34" s="14">
        <v>13.6657096315438</v>
      </c>
      <c r="J34" s="14">
        <f t="shared" si="1"/>
        <v>0.32182705774369619</v>
      </c>
      <c r="K34" s="14">
        <f>K35*(1+E35*F35)</f>
        <v>0.74285488365808783</v>
      </c>
      <c r="L34" s="14"/>
      <c r="M34" s="14">
        <f t="shared" ref="M34" si="15">K34</f>
        <v>0.74285488365808783</v>
      </c>
    </row>
    <row r="35" spans="1:13">
      <c r="A35">
        <v>16.5</v>
      </c>
      <c r="B35" s="4">
        <v>50782</v>
      </c>
      <c r="C35" s="14">
        <v>0.69740868440821069</v>
      </c>
      <c r="D35" s="14">
        <v>0.67685350673892697</v>
      </c>
      <c r="E35" s="14">
        <v>2.2010916327615201E-2</v>
      </c>
      <c r="F35" s="14">
        <v>0.51111111111111107</v>
      </c>
      <c r="G35" s="14">
        <v>0</v>
      </c>
      <c r="H35" s="14"/>
      <c r="I35" s="14"/>
      <c r="J35" s="14">
        <f t="shared" si="1"/>
        <v>0.32967292211190086</v>
      </c>
      <c r="K35" s="14">
        <f>(K36*(G36/100*I36-J35+C36)/C36)</f>
        <v>0.73459072049522456</v>
      </c>
      <c r="L35" s="14"/>
      <c r="M35" s="14"/>
    </row>
    <row r="36" spans="1:13">
      <c r="A36">
        <v>17</v>
      </c>
      <c r="B36" s="4">
        <v>50963</v>
      </c>
      <c r="C36" s="14">
        <v>0.68996315335641056</v>
      </c>
      <c r="D36" s="14">
        <v>0.66981104102760358</v>
      </c>
      <c r="E36" s="14">
        <v>2.0912038267508801E-2</v>
      </c>
      <c r="F36" s="14">
        <v>0.50277777777777777</v>
      </c>
      <c r="G36" s="14">
        <v>2.2524446923336967</v>
      </c>
      <c r="H36" s="14">
        <v>1</v>
      </c>
      <c r="I36" s="14">
        <v>14.355672784900211</v>
      </c>
      <c r="J36" s="14">
        <f t="shared" ref="J36:J67" si="16">J35+(E36*F36*C36)</f>
        <v>0.33692726931127592</v>
      </c>
      <c r="K36" s="14">
        <f>K37*(1+E37*F37)</f>
        <v>0.74138098585419288</v>
      </c>
      <c r="L36" s="14"/>
      <c r="M36" s="14">
        <f t="shared" ref="M36" si="17">K36</f>
        <v>0.74138098585419288</v>
      </c>
    </row>
    <row r="37" spans="1:13">
      <c r="A37">
        <v>17.5</v>
      </c>
      <c r="B37" s="4">
        <v>51147</v>
      </c>
      <c r="C37" s="14">
        <v>0.68282994441576605</v>
      </c>
      <c r="D37" s="14">
        <v>0.66306691465186141</v>
      </c>
      <c r="E37" s="14">
        <v>1.9899997381878601E-2</v>
      </c>
      <c r="F37" s="14">
        <v>0.51111111111111107</v>
      </c>
      <c r="G37" s="14">
        <v>0</v>
      </c>
      <c r="H37" s="14"/>
      <c r="I37" s="14"/>
      <c r="J37" s="14">
        <f t="shared" si="16"/>
        <v>0.34387240763219296</v>
      </c>
      <c r="K37" s="14">
        <f>(K38*(G38/100*I38-J37+C38)/C38)</f>
        <v>0.73391624318064397</v>
      </c>
      <c r="L37" s="14"/>
      <c r="M37" s="14"/>
    </row>
    <row r="38" spans="1:13">
      <c r="A38">
        <v>18</v>
      </c>
      <c r="B38" s="4">
        <v>51329</v>
      </c>
      <c r="C38" s="14">
        <v>0.67609185802575111</v>
      </c>
      <c r="D38" s="14">
        <v>0.65673579124496839</v>
      </c>
      <c r="E38" s="14">
        <v>1.90687052713602E-2</v>
      </c>
      <c r="F38" s="14">
        <v>0.50555555555555554</v>
      </c>
      <c r="G38" s="14">
        <v>2.2311705371449246</v>
      </c>
      <c r="H38" s="14">
        <v>1</v>
      </c>
      <c r="I38" s="14">
        <v>15.031764642925969</v>
      </c>
      <c r="J38" s="14">
        <f t="shared" si="16"/>
        <v>0.35039012913392853</v>
      </c>
      <c r="K38" s="14">
        <f>K39*(1+E39*F39)</f>
        <v>0.74324746270048714</v>
      </c>
      <c r="L38" s="14"/>
      <c r="M38" s="14">
        <f t="shared" ref="M38" si="18">K38</f>
        <v>0.74324746270048714</v>
      </c>
    </row>
    <row r="39" spans="1:13">
      <c r="A39">
        <v>18.5</v>
      </c>
      <c r="B39" s="4">
        <v>51515</v>
      </c>
      <c r="C39" s="14">
        <v>0.66942332733091914</v>
      </c>
      <c r="D39" s="14">
        <v>0.65055591075883357</v>
      </c>
      <c r="E39" s="14">
        <v>1.8385904743329899E-2</v>
      </c>
      <c r="F39" s="14">
        <v>0.51666666666666672</v>
      </c>
      <c r="G39" s="14">
        <v>0</v>
      </c>
      <c r="H39" s="14"/>
      <c r="I39" s="14"/>
      <c r="J39" s="14">
        <f t="shared" si="16"/>
        <v>0.35674923845738432</v>
      </c>
      <c r="K39" s="14">
        <f>(K40*(G40/100*I40-J39+C40)/C40)</f>
        <v>0.73625350782191312</v>
      </c>
      <c r="L39" s="14"/>
      <c r="M39" s="14"/>
    </row>
    <row r="40" spans="1:13">
      <c r="A40">
        <v>19</v>
      </c>
      <c r="B40" s="4">
        <v>51694</v>
      </c>
      <c r="C40" s="14">
        <v>0.66324213984716596</v>
      </c>
      <c r="D40" s="14">
        <v>0.6449111569909729</v>
      </c>
      <c r="E40" s="14">
        <v>1.75973078822565E-2</v>
      </c>
      <c r="F40" s="14">
        <v>0.49722222222222218</v>
      </c>
      <c r="G40" s="14">
        <v>2.2054797921556566</v>
      </c>
      <c r="H40" s="14">
        <v>1</v>
      </c>
      <c r="I40" s="14">
        <v>15.695006782773129</v>
      </c>
      <c r="J40" s="14">
        <f t="shared" si="16"/>
        <v>0.36255245631358574</v>
      </c>
      <c r="K40" s="14">
        <f>K41*(1+E41*F41)</f>
        <v>0.74821039054058169</v>
      </c>
      <c r="L40" s="14"/>
      <c r="M40" s="14">
        <f t="shared" ref="M40" si="19">K40</f>
        <v>0.74821039054058169</v>
      </c>
    </row>
    <row r="41" spans="1:13">
      <c r="A41">
        <v>19.5</v>
      </c>
      <c r="B41" s="4">
        <v>51879</v>
      </c>
      <c r="C41" s="14">
        <v>0.65713526584249904</v>
      </c>
      <c r="D41" s="14">
        <v>0.63940852927721736</v>
      </c>
      <c r="E41" s="14">
        <v>1.6746439250249601E-2</v>
      </c>
      <c r="F41" s="14">
        <v>0.51388888888888884</v>
      </c>
      <c r="G41" s="14">
        <v>0</v>
      </c>
      <c r="H41" s="14"/>
      <c r="I41" s="14"/>
      <c r="J41" s="14">
        <f t="shared" si="16"/>
        <v>0.36820763693746406</v>
      </c>
      <c r="K41" s="14">
        <f>(K42*(G42/100*I42-J41+C42)/C42)</f>
        <v>0.74182637440738575</v>
      </c>
      <c r="L41" s="14"/>
      <c r="M41" s="14"/>
    </row>
    <row r="42" spans="1:13">
      <c r="A42">
        <v>20</v>
      </c>
      <c r="B42" s="4">
        <v>52061</v>
      </c>
      <c r="C42" s="14">
        <v>0.65135462223894658</v>
      </c>
      <c r="D42" s="14">
        <v>0.63424325968494244</v>
      </c>
      <c r="E42" s="14">
        <v>1.6108987553141298E-2</v>
      </c>
      <c r="F42" s="14">
        <v>0.50555555555555554</v>
      </c>
      <c r="G42" s="14">
        <v>2.1763828210385054</v>
      </c>
      <c r="H42" s="14">
        <v>1.005555555555556</v>
      </c>
      <c r="I42" s="14">
        <v>16.34998004180229</v>
      </c>
      <c r="J42" s="14">
        <f t="shared" si="16"/>
        <v>0.37351226126364112</v>
      </c>
      <c r="K42" s="15">
        <f t="shared" ref="K42:K60" si="20">K43*(1+E43*F43)</f>
        <v>0.75618665595993106</v>
      </c>
      <c r="L42" s="15">
        <v>0.75618665595993195</v>
      </c>
      <c r="M42" s="14">
        <f>K42</f>
        <v>0.75618665595993106</v>
      </c>
    </row>
    <row r="43" spans="1:13">
      <c r="A43">
        <v>20.5</v>
      </c>
      <c r="B43" s="4">
        <v>52243</v>
      </c>
      <c r="C43" s="14">
        <v>0.64573914209288952</v>
      </c>
      <c r="D43" s="14">
        <v>0.62923895877524105</v>
      </c>
      <c r="E43" s="14">
        <v>1.57299670783482E-2</v>
      </c>
      <c r="F43" s="14">
        <v>0.50555555555555554</v>
      </c>
      <c r="G43" s="14">
        <v>0</v>
      </c>
      <c r="H43" s="14"/>
      <c r="I43" s="14"/>
      <c r="J43" s="14">
        <f t="shared" si="16"/>
        <v>0.37864741929483725</v>
      </c>
      <c r="K43" s="14">
        <f t="shared" si="20"/>
        <v>0.75022062230535957</v>
      </c>
      <c r="L43" s="14"/>
      <c r="M43" s="14"/>
    </row>
    <row r="44" spans="1:13">
      <c r="A44">
        <v>21</v>
      </c>
      <c r="B44" s="4">
        <v>52425</v>
      </c>
      <c r="C44" s="14">
        <v>0.6402741031535254</v>
      </c>
      <c r="D44" s="14">
        <v>0.62437792638072032</v>
      </c>
      <c r="E44" s="14">
        <v>1.53996938488435E-2</v>
      </c>
      <c r="F44" s="14">
        <v>0.50555555555555554</v>
      </c>
      <c r="G44" s="14">
        <v>0</v>
      </c>
      <c r="H44" s="14"/>
      <c r="I44" s="14"/>
      <c r="J44" s="14">
        <f t="shared" si="16"/>
        <v>0.38363220979639029</v>
      </c>
      <c r="K44" s="14">
        <f t="shared" si="20"/>
        <v>0.74442497552092946</v>
      </c>
      <c r="L44" s="14"/>
      <c r="M44" s="14"/>
    </row>
    <row r="45" spans="1:13">
      <c r="A45">
        <v>21.5</v>
      </c>
      <c r="B45" s="4">
        <v>52608</v>
      </c>
      <c r="C45" s="14">
        <v>0.634927113266328</v>
      </c>
      <c r="D45" s="14">
        <v>0.61963339874338974</v>
      </c>
      <c r="E45" s="14">
        <v>1.5062316009954399E-2</v>
      </c>
      <c r="F45" s="14">
        <v>0.5083333333333333</v>
      </c>
      <c r="G45" s="14">
        <v>0</v>
      </c>
      <c r="H45" s="14"/>
      <c r="I45" s="14"/>
      <c r="J45" s="14">
        <f t="shared" si="16"/>
        <v>0.38849364181490392</v>
      </c>
      <c r="K45" s="14">
        <f t="shared" si="20"/>
        <v>0.73876846379053041</v>
      </c>
      <c r="L45" s="14"/>
      <c r="M45" s="14"/>
    </row>
    <row r="46" spans="1:13">
      <c r="A46">
        <v>22</v>
      </c>
      <c r="B46" s="4">
        <v>52790</v>
      </c>
      <c r="C46" s="14">
        <v>0.62975313698155089</v>
      </c>
      <c r="D46" s="14">
        <v>0.61505604443203954</v>
      </c>
      <c r="E46" s="14">
        <v>1.47207844081999E-2</v>
      </c>
      <c r="F46" s="14">
        <v>0.50555555555555554</v>
      </c>
      <c r="G46" s="14">
        <v>0</v>
      </c>
      <c r="H46" s="14"/>
      <c r="I46" s="14"/>
      <c r="J46" s="14">
        <f t="shared" si="16"/>
        <v>0.39318037445129428</v>
      </c>
      <c r="K46" s="14">
        <f t="shared" si="20"/>
        <v>0.73331103522118768</v>
      </c>
      <c r="L46" s="14"/>
      <c r="M46" s="14"/>
    </row>
    <row r="47" spans="1:13">
      <c r="A47">
        <v>22.5</v>
      </c>
      <c r="B47" s="4">
        <v>52974</v>
      </c>
      <c r="C47" s="14">
        <v>0.6246646569460953</v>
      </c>
      <c r="D47" s="14">
        <v>0.61057042362918235</v>
      </c>
      <c r="E47" s="14">
        <v>1.4373795838521899E-2</v>
      </c>
      <c r="F47" s="14">
        <v>0.51111111111111107</v>
      </c>
      <c r="G47" s="14">
        <v>0</v>
      </c>
      <c r="H47" s="14"/>
      <c r="I47" s="14"/>
      <c r="J47" s="14">
        <f t="shared" si="16"/>
        <v>0.39776954004394138</v>
      </c>
      <c r="K47" s="14">
        <f t="shared" si="20"/>
        <v>0.7279629774883507</v>
      </c>
      <c r="L47" s="14"/>
      <c r="M47" s="14"/>
    </row>
    <row r="48" spans="1:13">
      <c r="A48">
        <v>23</v>
      </c>
      <c r="B48" s="4">
        <v>53155</v>
      </c>
      <c r="C48" s="14">
        <v>0.61979555389178442</v>
      </c>
      <c r="D48" s="14">
        <v>0.60629619276544222</v>
      </c>
      <c r="E48" s="14">
        <v>1.40215834415629E-2</v>
      </c>
      <c r="F48" s="14">
        <v>0.50277777777777777</v>
      </c>
      <c r="G48" s="14">
        <v>0</v>
      </c>
      <c r="H48" s="14"/>
      <c r="I48" s="14"/>
      <c r="J48" s="14">
        <f t="shared" si="16"/>
        <v>0.40213893790139749</v>
      </c>
      <c r="K48" s="14">
        <f t="shared" si="20"/>
        <v>0.72286695300759318</v>
      </c>
      <c r="L48" s="14"/>
      <c r="M48" s="14"/>
    </row>
    <row r="49" spans="1:13">
      <c r="A49">
        <v>23.5</v>
      </c>
      <c r="B49" s="4">
        <v>53339</v>
      </c>
      <c r="C49" s="14">
        <v>0.61498122338346772</v>
      </c>
      <c r="D49" s="14">
        <v>0.60209061125679897</v>
      </c>
      <c r="E49" s="14">
        <v>1.36662347718224E-2</v>
      </c>
      <c r="F49" s="14">
        <v>0.51111111111111107</v>
      </c>
      <c r="G49" s="14">
        <v>0</v>
      </c>
      <c r="H49" s="14"/>
      <c r="I49" s="14"/>
      <c r="J49" s="14">
        <f t="shared" si="16"/>
        <v>0.40643455987734156</v>
      </c>
      <c r="K49" s="14">
        <f t="shared" si="20"/>
        <v>0.7178527768886378</v>
      </c>
      <c r="L49" s="14"/>
      <c r="M49" s="14"/>
    </row>
    <row r="50" spans="1:13">
      <c r="A50">
        <v>24</v>
      </c>
      <c r="B50" s="4">
        <v>53520</v>
      </c>
      <c r="C50" s="14">
        <v>0.61037562509683041</v>
      </c>
      <c r="D50" s="14">
        <v>0.59808983719780817</v>
      </c>
      <c r="E50" s="14">
        <v>1.3304591007762099E-2</v>
      </c>
      <c r="F50" s="14">
        <v>0.50277777777777777</v>
      </c>
      <c r="G50" s="14">
        <v>0</v>
      </c>
      <c r="H50" s="14"/>
      <c r="I50" s="14"/>
      <c r="J50" s="14">
        <f t="shared" si="16"/>
        <v>0.41051751667622127</v>
      </c>
      <c r="K50" s="14">
        <f t="shared" si="20"/>
        <v>0.71308278593668517</v>
      </c>
      <c r="L50" s="14"/>
      <c r="M50" s="14"/>
    </row>
    <row r="51" spans="1:13">
      <c r="A51">
        <v>24.5</v>
      </c>
      <c r="B51" s="4">
        <v>53706</v>
      </c>
      <c r="C51" s="14">
        <v>0.60577431036681406</v>
      </c>
      <c r="D51" s="14">
        <v>0.59411834436985755</v>
      </c>
      <c r="E51" s="14">
        <v>1.29380962311729E-2</v>
      </c>
      <c r="F51" s="14">
        <v>0.51666666666666672</v>
      </c>
      <c r="G51" s="14">
        <v>0</v>
      </c>
      <c r="H51" s="14"/>
      <c r="I51" s="14"/>
      <c r="J51" s="14">
        <f t="shared" si="16"/>
        <v>0.41456692594253536</v>
      </c>
      <c r="K51" s="14">
        <f t="shared" si="20"/>
        <v>0.70834770603071129</v>
      </c>
      <c r="L51" s="14"/>
      <c r="M51" s="14"/>
    </row>
    <row r="52" spans="1:13">
      <c r="A52">
        <v>25</v>
      </c>
      <c r="B52" s="4">
        <v>53885</v>
      </c>
      <c r="C52" s="14">
        <v>0.60146922482722898</v>
      </c>
      <c r="D52" s="14">
        <v>0.59042925412809355</v>
      </c>
      <c r="E52" s="14">
        <v>1.2563696621126301E-2</v>
      </c>
      <c r="F52" s="14">
        <v>0.49722222222222218</v>
      </c>
      <c r="G52" s="14">
        <v>2.1509999999999998</v>
      </c>
      <c r="H52" s="14">
        <v>1.002777777777778</v>
      </c>
      <c r="I52" s="14">
        <v>20.04276006411229</v>
      </c>
      <c r="J52" s="14">
        <f t="shared" si="16"/>
        <v>0.41832427360729513</v>
      </c>
      <c r="K52" s="14">
        <f t="shared" si="20"/>
        <v>0.70395016514262077</v>
      </c>
      <c r="L52" s="14"/>
      <c r="M52" s="14">
        <f>K52</f>
        <v>0.70395016514262077</v>
      </c>
    </row>
    <row r="53" spans="1:13">
      <c r="A53">
        <v>25.5</v>
      </c>
      <c r="B53" s="4">
        <v>54070</v>
      </c>
      <c r="C53" s="14">
        <v>0.59714179724358019</v>
      </c>
      <c r="D53" s="14">
        <v>0.58675019054605404</v>
      </c>
      <c r="E53" s="14">
        <v>1.22015450147267E-2</v>
      </c>
      <c r="F53" s="14">
        <v>0.51388888888888884</v>
      </c>
      <c r="G53" s="14">
        <v>0</v>
      </c>
      <c r="H53" s="14"/>
      <c r="I53" s="14"/>
      <c r="J53" s="14">
        <f t="shared" si="16"/>
        <v>0.42206849504079469</v>
      </c>
      <c r="K53" s="14">
        <f t="shared" si="20"/>
        <v>0.69956373374878433</v>
      </c>
      <c r="L53" s="14"/>
      <c r="M53" s="14"/>
    </row>
    <row r="54" spans="1:13">
      <c r="A54">
        <v>26</v>
      </c>
      <c r="B54" s="4">
        <v>54252</v>
      </c>
      <c r="C54" s="14">
        <v>0.59299302894571138</v>
      </c>
      <c r="D54" s="14">
        <v>0.58325070461122197</v>
      </c>
      <c r="E54" s="14">
        <v>1.1868069830263801E-2</v>
      </c>
      <c r="F54" s="14">
        <v>0.50555555555555554</v>
      </c>
      <c r="G54" s="14">
        <v>0</v>
      </c>
      <c r="H54" s="14"/>
      <c r="I54" s="14"/>
      <c r="J54" s="14">
        <f t="shared" si="16"/>
        <v>0.42562643461607941</v>
      </c>
      <c r="K54" s="14">
        <f t="shared" si="20"/>
        <v>0.69539140711605818</v>
      </c>
      <c r="L54" s="14"/>
      <c r="M54" s="14"/>
    </row>
    <row r="55" spans="1:13">
      <c r="A55">
        <v>26.5</v>
      </c>
      <c r="B55" s="4">
        <v>54435</v>
      </c>
      <c r="C55" s="14">
        <v>0.58891583250939061</v>
      </c>
      <c r="D55" s="14">
        <v>0.57983716615897962</v>
      </c>
      <c r="E55" s="14">
        <v>1.15805884799351E-2</v>
      </c>
      <c r="F55" s="14">
        <v>0.5083333333333333</v>
      </c>
      <c r="G55" s="14">
        <v>0</v>
      </c>
      <c r="H55" s="14"/>
      <c r="I55" s="14"/>
      <c r="J55" s="14">
        <f t="shared" si="16"/>
        <v>0.42909326383476432</v>
      </c>
      <c r="K55" s="14">
        <f t="shared" si="20"/>
        <v>0.69132173491873272</v>
      </c>
      <c r="L55" s="14"/>
      <c r="M55" s="14"/>
    </row>
    <row r="56" spans="1:13">
      <c r="A56">
        <v>27</v>
      </c>
      <c r="B56" s="4">
        <v>54616</v>
      </c>
      <c r="C56" s="14">
        <v>0.58496282841536662</v>
      </c>
      <c r="D56" s="14">
        <v>0.57655059372333639</v>
      </c>
      <c r="E56" s="14">
        <v>1.13378239913883E-2</v>
      </c>
      <c r="F56" s="14">
        <v>0.50277777777777777</v>
      </c>
      <c r="G56" s="14">
        <v>0</v>
      </c>
      <c r="H56" s="14"/>
      <c r="I56" s="14"/>
      <c r="J56" s="14">
        <f t="shared" si="16"/>
        <v>0.43242778942310917</v>
      </c>
      <c r="K56" s="14">
        <f t="shared" si="20"/>
        <v>0.68740325729992824</v>
      </c>
      <c r="L56" s="14"/>
      <c r="M56" s="14"/>
    </row>
    <row r="57" spans="1:13">
      <c r="A57">
        <v>27.5</v>
      </c>
      <c r="B57" s="4">
        <v>54800</v>
      </c>
      <c r="C57" s="14">
        <v>0.58101208887308553</v>
      </c>
      <c r="D57" s="14">
        <v>0.57328687722651306</v>
      </c>
      <c r="E57" s="14">
        <v>1.1138458824115899E-2</v>
      </c>
      <c r="F57" s="14">
        <v>0.51111111111111107</v>
      </c>
      <c r="G57" s="14">
        <v>0</v>
      </c>
      <c r="H57" s="14"/>
      <c r="I57" s="14"/>
      <c r="J57" s="14">
        <f t="shared" si="16"/>
        <v>0.43573548547309154</v>
      </c>
      <c r="K57" s="14">
        <f t="shared" si="20"/>
        <v>0.68351203010279449</v>
      </c>
      <c r="L57" s="14"/>
      <c r="M57" s="14"/>
    </row>
    <row r="58" spans="1:13">
      <c r="A58">
        <v>28</v>
      </c>
      <c r="B58" s="4">
        <v>54981</v>
      </c>
      <c r="C58" s="14">
        <v>0.57717966116032426</v>
      </c>
      <c r="D58" s="14">
        <v>0.57013896952900966</v>
      </c>
      <c r="E58" s="14">
        <v>1.09815890846915E-2</v>
      </c>
      <c r="F58" s="14">
        <v>0.50277777777777777</v>
      </c>
      <c r="G58" s="14">
        <v>0</v>
      </c>
      <c r="H58" s="14"/>
      <c r="I58" s="14"/>
      <c r="J58" s="14">
        <f t="shared" si="16"/>
        <v>0.4389222669339517</v>
      </c>
      <c r="K58" s="14">
        <f t="shared" si="20"/>
        <v>0.67975887811838831</v>
      </c>
      <c r="L58" s="14"/>
      <c r="M58" s="14"/>
    </row>
    <row r="59" spans="1:13">
      <c r="A59">
        <v>28.5</v>
      </c>
      <c r="B59" s="4">
        <v>55165</v>
      </c>
      <c r="C59" s="14">
        <v>0.57332577765484094</v>
      </c>
      <c r="D59" s="14">
        <v>0.56698905422546453</v>
      </c>
      <c r="E59" s="14">
        <v>1.0869482791382201E-2</v>
      </c>
      <c r="F59" s="14">
        <v>0.51111111111111107</v>
      </c>
      <c r="G59" s="14">
        <v>0</v>
      </c>
      <c r="H59" s="14"/>
      <c r="I59" s="14"/>
      <c r="J59" s="14">
        <f t="shared" si="16"/>
        <v>0.4421073859895901</v>
      </c>
      <c r="K59" s="14">
        <f t="shared" si="20"/>
        <v>0.67600333252803058</v>
      </c>
      <c r="L59" s="14"/>
      <c r="M59" s="14"/>
    </row>
    <row r="60" spans="1:13">
      <c r="A60">
        <v>29</v>
      </c>
      <c r="B60" s="4">
        <v>55346</v>
      </c>
      <c r="C60" s="14">
        <v>0.56956397983013385</v>
      </c>
      <c r="D60" s="14">
        <v>0.56392695819486949</v>
      </c>
      <c r="E60" s="14">
        <v>1.07999035290495E-2</v>
      </c>
      <c r="F60" s="14">
        <v>0.50277777777777777</v>
      </c>
      <c r="G60" s="14">
        <v>0</v>
      </c>
      <c r="H60" s="14"/>
      <c r="I60" s="14"/>
      <c r="J60" s="14">
        <f t="shared" si="16"/>
        <v>0.44520009077424966</v>
      </c>
      <c r="K60" s="14">
        <f t="shared" si="20"/>
        <v>0.67235249111270412</v>
      </c>
      <c r="L60" s="14"/>
      <c r="M60" s="14"/>
    </row>
    <row r="61" spans="1:13">
      <c r="A61">
        <v>29.5</v>
      </c>
      <c r="B61" s="4">
        <v>55530</v>
      </c>
      <c r="C61" s="14">
        <v>0.56575749067846093</v>
      </c>
      <c r="D61" s="14">
        <v>0.56083828488264831</v>
      </c>
      <c r="E61" s="14">
        <v>1.0775042723228601E-2</v>
      </c>
      <c r="F61" s="14">
        <v>0.51111111111111107</v>
      </c>
      <c r="G61" s="14">
        <v>0</v>
      </c>
      <c r="H61" s="14"/>
      <c r="I61" s="14"/>
      <c r="J61" s="14">
        <f t="shared" si="16"/>
        <v>0.4483158553533626</v>
      </c>
      <c r="K61" s="14">
        <f>(K62*(G62/100*I62-J61+C62)/C62)</f>
        <v>0.66866996243496069</v>
      </c>
      <c r="L61" s="14"/>
      <c r="M61" s="14"/>
    </row>
    <row r="62" spans="1:13">
      <c r="A62">
        <v>30</v>
      </c>
      <c r="B62" s="4">
        <v>55712</v>
      </c>
      <c r="C62" s="14">
        <v>0.56199826955425991</v>
      </c>
      <c r="D62" s="14">
        <v>0.55779469673686044</v>
      </c>
      <c r="E62" s="14">
        <v>1.0793010904611801E-2</v>
      </c>
      <c r="F62" s="14">
        <v>0.50555555555555554</v>
      </c>
      <c r="G62" s="14">
        <v>1.8941535303616994</v>
      </c>
      <c r="H62" s="14">
        <v>1</v>
      </c>
      <c r="I62" s="14">
        <v>22.334839906326771</v>
      </c>
      <c r="J62" s="14">
        <f t="shared" si="16"/>
        <v>0.45138238015393017</v>
      </c>
      <c r="K62" s="14">
        <f t="shared" ref="K62:K70" si="21">K63*(1+E63*F63)</f>
        <v>0.70013854200923187</v>
      </c>
      <c r="L62" s="14"/>
      <c r="M62" s="14">
        <f>K62</f>
        <v>0.70013854200923187</v>
      </c>
    </row>
    <row r="63" spans="1:13">
      <c r="A63">
        <v>30.5</v>
      </c>
      <c r="B63" s="4">
        <v>55897</v>
      </c>
      <c r="C63" s="14">
        <v>0.55817405862420799</v>
      </c>
      <c r="D63" s="14">
        <v>0.55470287369725568</v>
      </c>
      <c r="E63" s="14">
        <v>1.0846384244233899E-2</v>
      </c>
      <c r="F63" s="14">
        <v>0.51388888888888884</v>
      </c>
      <c r="G63" s="14">
        <v>0</v>
      </c>
      <c r="H63" s="14"/>
      <c r="I63" s="14"/>
      <c r="J63" s="14">
        <f t="shared" si="16"/>
        <v>0.45449355101025046</v>
      </c>
      <c r="K63" s="14">
        <f t="shared" si="21"/>
        <v>0.69625771544748227</v>
      </c>
      <c r="L63" s="14"/>
      <c r="M63" s="14"/>
    </row>
    <row r="64" spans="1:13">
      <c r="A64">
        <v>31</v>
      </c>
      <c r="B64" s="4">
        <v>56079</v>
      </c>
      <c r="C64" s="14">
        <v>0.55441017461360897</v>
      </c>
      <c r="D64" s="14">
        <v>0.55166414272305053</v>
      </c>
      <c r="E64" s="14">
        <v>1.08955362271776E-2</v>
      </c>
      <c r="F64" s="14">
        <v>0.50555555555555554</v>
      </c>
      <c r="G64" s="14">
        <v>0</v>
      </c>
      <c r="H64" s="14"/>
      <c r="I64" s="14"/>
      <c r="J64" s="14">
        <f t="shared" si="16"/>
        <v>0.45754740794881643</v>
      </c>
      <c r="K64" s="14">
        <f t="shared" si="21"/>
        <v>0.69244352953591926</v>
      </c>
      <c r="L64" s="14"/>
      <c r="M64" s="14"/>
    </row>
    <row r="65" spans="1:13">
      <c r="A65">
        <v>31.5</v>
      </c>
      <c r="B65" s="4">
        <v>56261</v>
      </c>
      <c r="C65" s="14">
        <v>0.55064827385461712</v>
      </c>
      <c r="D65" s="14">
        <v>0.5486319065880878</v>
      </c>
      <c r="E65" s="14">
        <v>1.0932826565357399E-2</v>
      </c>
      <c r="F65" s="14">
        <v>0.50555555555555554</v>
      </c>
      <c r="G65" s="14">
        <v>0</v>
      </c>
      <c r="H65" s="14"/>
      <c r="I65" s="14"/>
      <c r="J65" s="14">
        <f t="shared" si="16"/>
        <v>0.46059092422085812</v>
      </c>
      <c r="K65" s="14">
        <f t="shared" si="21"/>
        <v>0.6886373269026268</v>
      </c>
      <c r="L65" s="14"/>
      <c r="M65" s="14"/>
    </row>
    <row r="66" spans="1:13">
      <c r="A66">
        <v>32</v>
      </c>
      <c r="B66" s="4">
        <v>56443</v>
      </c>
      <c r="C66" s="14">
        <v>0.546891901283866</v>
      </c>
      <c r="D66" s="14">
        <v>0.54560963384076011</v>
      </c>
      <c r="E66" s="14">
        <v>1.0956774856977301E-2</v>
      </c>
      <c r="F66" s="14">
        <v>0.50555555555555554</v>
      </c>
      <c r="G66" s="14">
        <v>0</v>
      </c>
      <c r="H66" s="14"/>
      <c r="I66" s="14"/>
      <c r="J66" s="14">
        <f t="shared" si="16"/>
        <v>0.46362029977889097</v>
      </c>
      <c r="K66" s="14">
        <f t="shared" si="21"/>
        <v>0.68484380013012536</v>
      </c>
      <c r="L66" s="14"/>
      <c r="M66" s="14"/>
    </row>
    <row r="67" spans="1:13">
      <c r="A67">
        <v>32.5</v>
      </c>
      <c r="B67" s="4">
        <v>56626</v>
      </c>
      <c r="C67" s="14">
        <v>0.5431239515609213</v>
      </c>
      <c r="D67" s="14">
        <v>0.54258422783504157</v>
      </c>
      <c r="E67" s="14">
        <v>1.09691991996723E-2</v>
      </c>
      <c r="F67" s="14">
        <v>0.5083333333333333</v>
      </c>
      <c r="G67" s="14">
        <v>0</v>
      </c>
      <c r="H67" s="14"/>
      <c r="I67" s="14"/>
      <c r="J67" s="14">
        <f t="shared" si="16"/>
        <v>0.46664876414307332</v>
      </c>
      <c r="K67" s="14">
        <f t="shared" si="21"/>
        <v>0.68104627954200858</v>
      </c>
      <c r="L67" s="14"/>
      <c r="M67" s="14"/>
    </row>
    <row r="68" spans="1:13">
      <c r="A68">
        <v>33</v>
      </c>
      <c r="B68" s="4">
        <v>56807</v>
      </c>
      <c r="C68" s="14">
        <v>0.53940946446737725</v>
      </c>
      <c r="D68" s="14">
        <v>0.53960847472234175</v>
      </c>
      <c r="E68" s="14">
        <v>1.0968369202468299E-2</v>
      </c>
      <c r="F68" s="14">
        <v>0.50277777777777777</v>
      </c>
      <c r="G68" s="14">
        <v>0</v>
      </c>
      <c r="H68" s="14"/>
      <c r="I68" s="14"/>
      <c r="J68" s="14">
        <f t="shared" ref="J68:J99" si="22">J67+(E68*F68*C68)</f>
        <v>0.4696234197834141</v>
      </c>
      <c r="K68" s="14">
        <f t="shared" si="21"/>
        <v>0.67731114408787618</v>
      </c>
      <c r="L68" s="14"/>
      <c r="M68" s="14"/>
    </row>
    <row r="69" spans="1:13">
      <c r="A69">
        <v>33.5</v>
      </c>
      <c r="B69" s="4">
        <v>56991</v>
      </c>
      <c r="C69" s="14">
        <v>0.53564926141067259</v>
      </c>
      <c r="D69" s="14">
        <v>0.53660360945520758</v>
      </c>
      <c r="E69" s="14">
        <v>1.0956102632769599E-2</v>
      </c>
      <c r="F69" s="14">
        <v>0.51111111111111107</v>
      </c>
      <c r="G69" s="14">
        <v>0</v>
      </c>
      <c r="H69" s="14"/>
      <c r="I69" s="14"/>
      <c r="J69" s="14">
        <f t="shared" si="22"/>
        <v>0.47262294090592966</v>
      </c>
      <c r="K69" s="14">
        <f t="shared" si="21"/>
        <v>0.67353946734955261</v>
      </c>
      <c r="L69" s="14"/>
      <c r="M69" s="14"/>
    </row>
    <row r="70" spans="1:13">
      <c r="A70">
        <v>34</v>
      </c>
      <c r="B70" s="4">
        <v>57173</v>
      </c>
      <c r="C70" s="14">
        <v>0.53194885680512016</v>
      </c>
      <c r="D70" s="14">
        <v>0.53365464410213215</v>
      </c>
      <c r="E70" s="14">
        <v>1.0930511605727E-2</v>
      </c>
      <c r="F70" s="14">
        <v>0.50555555555555554</v>
      </c>
      <c r="G70" s="14">
        <v>0</v>
      </c>
      <c r="H70" s="14"/>
      <c r="I70" s="14"/>
      <c r="J70" s="14">
        <f t="shared" si="22"/>
        <v>0.47556248011103802</v>
      </c>
      <c r="K70" s="14">
        <f t="shared" si="21"/>
        <v>0.66983795562256432</v>
      </c>
      <c r="L70" s="14"/>
      <c r="M70" s="14"/>
    </row>
    <row r="71" spans="1:13">
      <c r="A71">
        <v>34.5</v>
      </c>
      <c r="B71" s="4">
        <v>57357</v>
      </c>
      <c r="C71" s="14">
        <v>0.52823009110863162</v>
      </c>
      <c r="D71" s="14">
        <v>0.53069993891946243</v>
      </c>
      <c r="E71" s="14">
        <v>1.0893057448593301E-2</v>
      </c>
      <c r="F71" s="14">
        <v>0.51111111111111107</v>
      </c>
      <c r="G71" s="14">
        <v>0</v>
      </c>
      <c r="H71" s="14"/>
      <c r="I71" s="14"/>
      <c r="J71" s="14">
        <f t="shared" si="22"/>
        <v>0.47850343426117148</v>
      </c>
      <c r="K71" s="14">
        <f>(K72*(G72/100*I72-J71+C72)/C72)</f>
        <v>0.66612923931905155</v>
      </c>
      <c r="L71" s="14"/>
      <c r="M71" s="14"/>
    </row>
    <row r="72" spans="1:13">
      <c r="A72">
        <v>35</v>
      </c>
      <c r="B72" s="4">
        <v>57538</v>
      </c>
      <c r="C72" s="14">
        <v>0.52459684006245333</v>
      </c>
      <c r="D72" s="14">
        <v>0.52782259332972981</v>
      </c>
      <c r="E72" s="14">
        <v>1.08424636949378E-2</v>
      </c>
      <c r="F72" s="14">
        <v>0.50277777777777777</v>
      </c>
      <c r="G72" s="14">
        <v>1.7845604074396719</v>
      </c>
      <c r="H72" s="14">
        <v>1</v>
      </c>
      <c r="I72" s="14">
        <v>25.032159696291082</v>
      </c>
      <c r="J72" s="14">
        <f t="shared" si="22"/>
        <v>0.48136319514146864</v>
      </c>
      <c r="K72" s="14">
        <f t="shared" ref="K72:K80" si="23">K73*(1+E73*F73)</f>
        <v>0.70909909643937774</v>
      </c>
      <c r="L72" s="14"/>
      <c r="M72" s="14">
        <f>K72</f>
        <v>0.70909909643937774</v>
      </c>
    </row>
    <row r="73" spans="1:13">
      <c r="A73">
        <v>35.5</v>
      </c>
      <c r="B73" s="4">
        <v>57724</v>
      </c>
      <c r="C73" s="14">
        <v>0.52089196930492376</v>
      </c>
      <c r="D73" s="14">
        <v>0.5248990250607739</v>
      </c>
      <c r="E73" s="14">
        <v>1.07802052586819E-2</v>
      </c>
      <c r="F73" s="14">
        <v>0.51666666666666672</v>
      </c>
      <c r="G73" s="14">
        <v>0</v>
      </c>
      <c r="H73" s="14"/>
      <c r="I73" s="14"/>
      <c r="J73" s="14">
        <f t="shared" si="22"/>
        <v>0.48426444502060012</v>
      </c>
      <c r="K73" s="14">
        <f t="shared" si="23"/>
        <v>0.70517145172675288</v>
      </c>
      <c r="L73" s="14"/>
      <c r="M73" s="14"/>
    </row>
    <row r="74" spans="1:13">
      <c r="A74">
        <v>36</v>
      </c>
      <c r="B74" s="4">
        <v>57903</v>
      </c>
      <c r="C74" s="14">
        <v>0.51735683932539711</v>
      </c>
      <c r="D74" s="14">
        <v>0.5221203071921855</v>
      </c>
      <c r="E74" s="14">
        <v>1.07032216274824E-2</v>
      </c>
      <c r="F74" s="14">
        <v>0.49722222222222218</v>
      </c>
      <c r="G74" s="14">
        <v>0</v>
      </c>
      <c r="H74" s="14"/>
      <c r="I74" s="14"/>
      <c r="J74" s="14">
        <f t="shared" si="22"/>
        <v>0.4870177558517419</v>
      </c>
      <c r="K74" s="14">
        <f t="shared" si="23"/>
        <v>0.70143848055657498</v>
      </c>
      <c r="L74" s="14"/>
      <c r="M74" s="14"/>
    </row>
    <row r="75" spans="1:13">
      <c r="A75">
        <v>36.5</v>
      </c>
      <c r="B75" s="4">
        <v>58088</v>
      </c>
      <c r="C75" s="14">
        <v>0.51373727224032295</v>
      </c>
      <c r="D75" s="14">
        <v>0.51928740042500721</v>
      </c>
      <c r="E75" s="14">
        <v>1.06158621108882E-2</v>
      </c>
      <c r="F75" s="14">
        <v>0.51388888888888884</v>
      </c>
      <c r="G75" s="14">
        <v>0</v>
      </c>
      <c r="H75" s="14"/>
      <c r="I75" s="14"/>
      <c r="J75" s="14">
        <f t="shared" si="22"/>
        <v>0.48982038459622945</v>
      </c>
      <c r="K75" s="14">
        <f t="shared" si="23"/>
        <v>0.69763263391365449</v>
      </c>
      <c r="L75" s="14"/>
      <c r="M75" s="14"/>
    </row>
    <row r="76" spans="1:13">
      <c r="A76">
        <v>37</v>
      </c>
      <c r="B76" s="4">
        <v>58270</v>
      </c>
      <c r="C76" s="14">
        <v>0.51021287719542696</v>
      </c>
      <c r="D76" s="14">
        <v>0.51654201597351568</v>
      </c>
      <c r="E76" s="14">
        <v>1.05130475648442E-2</v>
      </c>
      <c r="F76" s="14">
        <v>0.50555555555555554</v>
      </c>
      <c r="G76" s="14">
        <v>0</v>
      </c>
      <c r="H76" s="14"/>
      <c r="I76" s="14"/>
      <c r="J76" s="14">
        <f t="shared" si="22"/>
        <v>0.49253213012067271</v>
      </c>
      <c r="K76" s="14">
        <f t="shared" si="23"/>
        <v>0.6939443684474943</v>
      </c>
      <c r="L76" s="14"/>
      <c r="M76" s="14"/>
    </row>
    <row r="77" spans="1:13">
      <c r="A77">
        <v>37.5</v>
      </c>
      <c r="B77" s="4">
        <v>58452</v>
      </c>
      <c r="C77" s="14">
        <v>0.50672726759364373</v>
      </c>
      <c r="D77" s="14">
        <v>0.51384074987513662</v>
      </c>
      <c r="E77" s="14">
        <v>1.0398104339398801E-2</v>
      </c>
      <c r="F77" s="14">
        <v>0.50555555555555554</v>
      </c>
      <c r="G77" s="14">
        <v>0</v>
      </c>
      <c r="H77" s="14"/>
      <c r="I77" s="14"/>
      <c r="J77" s="14">
        <f t="shared" si="22"/>
        <v>0.4951959038595905</v>
      </c>
      <c r="K77" s="14">
        <f t="shared" si="23"/>
        <v>0.69031550450025125</v>
      </c>
      <c r="L77" s="14"/>
      <c r="M77" s="14"/>
    </row>
    <row r="78" spans="1:13">
      <c r="A78">
        <v>38</v>
      </c>
      <c r="B78" s="4">
        <v>58634</v>
      </c>
      <c r="C78" s="14">
        <v>0.50328295965269065</v>
      </c>
      <c r="D78" s="14">
        <v>0.51118640050096331</v>
      </c>
      <c r="E78" s="14">
        <v>1.0270933253150399E-2</v>
      </c>
      <c r="F78" s="14">
        <v>0.50555555555555554</v>
      </c>
      <c r="G78" s="14">
        <v>0</v>
      </c>
      <c r="H78" s="14"/>
      <c r="I78" s="14"/>
      <c r="J78" s="14">
        <f t="shared" si="22"/>
        <v>0.49780921440086667</v>
      </c>
      <c r="K78" s="14">
        <f t="shared" si="23"/>
        <v>0.68674953872622968</v>
      </c>
      <c r="L78" s="14"/>
      <c r="M78" s="14"/>
    </row>
    <row r="79" spans="1:13">
      <c r="A79">
        <v>38.5</v>
      </c>
      <c r="B79" s="4">
        <v>58818</v>
      </c>
      <c r="C79" s="14">
        <v>0.49984527842257231</v>
      </c>
      <c r="D79" s="14">
        <v>0.50855337125243827</v>
      </c>
      <c r="E79" s="14">
        <v>1.0129868870633E-2</v>
      </c>
      <c r="F79" s="14">
        <v>0.51111111111111107</v>
      </c>
      <c r="G79" s="14">
        <v>0</v>
      </c>
      <c r="H79" s="14"/>
      <c r="I79" s="14"/>
      <c r="J79" s="14">
        <f t="shared" si="22"/>
        <v>0.50039715759861314</v>
      </c>
      <c r="K79" s="14">
        <f t="shared" si="23"/>
        <v>0.68321221531522891</v>
      </c>
      <c r="L79" s="14"/>
      <c r="M79" s="14"/>
    </row>
    <row r="80" spans="1:13">
      <c r="A80">
        <v>39</v>
      </c>
      <c r="B80" s="4">
        <v>58999</v>
      </c>
      <c r="C80" s="14">
        <v>0.49650964556268212</v>
      </c>
      <c r="D80" s="14">
        <v>0.50601548457043399</v>
      </c>
      <c r="E80" s="14">
        <v>9.9754465449435996E-3</v>
      </c>
      <c r="F80" s="14">
        <v>0.50277777777777777</v>
      </c>
      <c r="G80" s="14">
        <v>0</v>
      </c>
      <c r="H80" s="14"/>
      <c r="I80" s="14"/>
      <c r="J80" s="14">
        <f t="shared" si="22"/>
        <v>0.50288736838342718</v>
      </c>
      <c r="K80" s="14">
        <f t="shared" si="23"/>
        <v>0.67980271047218566</v>
      </c>
      <c r="L80" s="14"/>
      <c r="M80" s="14"/>
    </row>
    <row r="81" spans="1:16">
      <c r="A81">
        <v>39.5</v>
      </c>
      <c r="B81" s="4">
        <v>59183</v>
      </c>
      <c r="C81" s="14">
        <v>0.49316783235733408</v>
      </c>
      <c r="D81" s="14">
        <v>0.50349129580180585</v>
      </c>
      <c r="E81" s="14">
        <v>9.8087697655727703E-3</v>
      </c>
      <c r="F81" s="14">
        <v>0.51111111111111107</v>
      </c>
      <c r="G81" s="14">
        <v>0</v>
      </c>
      <c r="H81" s="14"/>
      <c r="I81" s="14"/>
      <c r="J81" s="14">
        <f t="shared" si="22"/>
        <v>0.50535980179759898</v>
      </c>
      <c r="K81" s="14">
        <f>(K82*(G82/100*I82-J81+C82))/C82</f>
        <v>0.67641160798821021</v>
      </c>
      <c r="L81" s="14"/>
      <c r="M81" s="14"/>
    </row>
    <row r="82" spans="1:16">
      <c r="A82">
        <v>40</v>
      </c>
      <c r="B82" s="4">
        <v>59364</v>
      </c>
      <c r="C82" s="14">
        <v>0.48993103816542471</v>
      </c>
      <c r="D82" s="14">
        <v>0.50106569279954849</v>
      </c>
      <c r="E82" s="14">
        <v>9.6282859328103293E-3</v>
      </c>
      <c r="F82" s="14">
        <v>0.50277777777777777</v>
      </c>
      <c r="G82" s="14">
        <v>1.6923418385215439</v>
      </c>
      <c r="H82" s="14">
        <v>1</v>
      </c>
      <c r="I82" s="14">
        <v>27.549491555734601</v>
      </c>
      <c r="J82" s="14">
        <f t="shared" si="22"/>
        <v>0.50773150318157001</v>
      </c>
      <c r="K82" s="15">
        <f t="shared" ref="K82:K100" si="24">K83*(1+E83*F83)</f>
        <v>0.73512195410647563</v>
      </c>
      <c r="L82" s="15">
        <v>0.73512195410647596</v>
      </c>
      <c r="M82" s="14">
        <f>K82</f>
        <v>0.73512195410647563</v>
      </c>
    </row>
    <row r="83" spans="1:16">
      <c r="A83">
        <v>40.5</v>
      </c>
      <c r="B83" s="4">
        <v>59548</v>
      </c>
      <c r="C83" s="14">
        <v>0.48669362634470931</v>
      </c>
      <c r="D83" s="14">
        <v>0.49865975423065317</v>
      </c>
      <c r="E83" s="14">
        <v>9.4398456525104004E-3</v>
      </c>
      <c r="F83" s="14">
        <v>0.51111111111111107</v>
      </c>
      <c r="G83" s="14">
        <v>0</v>
      </c>
      <c r="H83" s="14"/>
      <c r="I83" s="14"/>
      <c r="J83" s="14">
        <f t="shared" si="22"/>
        <v>0.51007970745697795</v>
      </c>
      <c r="K83" s="14">
        <f t="shared" si="24"/>
        <v>0.73159216093236179</v>
      </c>
      <c r="L83" s="14"/>
      <c r="M83" s="14"/>
    </row>
    <row r="84" spans="1:16">
      <c r="A84">
        <v>41</v>
      </c>
      <c r="B84" s="4">
        <v>59729</v>
      </c>
      <c r="C84" s="14">
        <v>0.4835606296701902</v>
      </c>
      <c r="D84" s="14">
        <v>0.49634912885889831</v>
      </c>
      <c r="E84" s="14">
        <v>9.2590451040213406E-3</v>
      </c>
      <c r="F84" s="14">
        <v>0.50277777777777777</v>
      </c>
      <c r="G84" s="14">
        <v>0</v>
      </c>
      <c r="H84" s="14"/>
      <c r="I84" s="14"/>
      <c r="J84" s="14">
        <f t="shared" si="22"/>
        <v>0.51233079926863567</v>
      </c>
      <c r="K84" s="14">
        <f t="shared" si="24"/>
        <v>0.7282022033621236</v>
      </c>
      <c r="L84" s="14"/>
      <c r="M84" s="14"/>
    </row>
    <row r="85" spans="1:16">
      <c r="A85">
        <v>41.5</v>
      </c>
      <c r="B85" s="4">
        <v>59915</v>
      </c>
      <c r="C85" s="14">
        <v>0.48039334667767708</v>
      </c>
      <c r="D85" s="14">
        <v>0.49402867581010651</v>
      </c>
      <c r="E85" s="14">
        <v>9.0909691464970098E-3</v>
      </c>
      <c r="F85" s="14">
        <v>0.51666666666666672</v>
      </c>
      <c r="G85" s="14">
        <v>0</v>
      </c>
      <c r="H85" s="14"/>
      <c r="I85" s="14"/>
      <c r="J85" s="14">
        <f t="shared" si="22"/>
        <v>0.51458720716659745</v>
      </c>
      <c r="K85" s="14">
        <f t="shared" si="24"/>
        <v>0.72479782744065624</v>
      </c>
      <c r="L85" s="14"/>
      <c r="M85" s="14"/>
    </row>
    <row r="86" spans="1:16">
      <c r="A86">
        <v>42</v>
      </c>
      <c r="B86" s="4">
        <v>60097</v>
      </c>
      <c r="C86" s="14">
        <v>0.4773444128346101</v>
      </c>
      <c r="D86" s="14">
        <v>0.49180732439275149</v>
      </c>
      <c r="E86" s="14">
        <v>8.9341530849784603E-3</v>
      </c>
      <c r="F86" s="14">
        <v>0.50555555555555554</v>
      </c>
      <c r="G86" s="14">
        <v>0</v>
      </c>
      <c r="H86" s="14"/>
      <c r="I86" s="14"/>
      <c r="J86" s="14">
        <f t="shared" si="22"/>
        <v>0.51674323379618436</v>
      </c>
      <c r="K86" s="14">
        <f t="shared" si="24"/>
        <v>0.72153884519910716</v>
      </c>
      <c r="L86" s="14"/>
      <c r="M86" s="14"/>
      <c r="O86" s="4">
        <v>59364</v>
      </c>
      <c r="P86" s="3">
        <v>0.73608280089165101</v>
      </c>
    </row>
    <row r="87" spans="1:16">
      <c r="A87">
        <v>42.5</v>
      </c>
      <c r="B87" s="4">
        <v>60279</v>
      </c>
      <c r="C87" s="14">
        <v>0.47434415945888991</v>
      </c>
      <c r="D87" s="14">
        <v>0.4896309584163458</v>
      </c>
      <c r="E87" s="14">
        <v>8.7916116448463408E-3</v>
      </c>
      <c r="F87" s="14">
        <v>0.50555555555555554</v>
      </c>
      <c r="G87" s="14">
        <v>0</v>
      </c>
      <c r="H87" s="14"/>
      <c r="I87" s="14"/>
      <c r="J87" s="14">
        <f t="shared" si="22"/>
        <v>0.51885152666769929</v>
      </c>
      <c r="K87" s="14">
        <f t="shared" si="24"/>
        <v>0.71834604978706995</v>
      </c>
      <c r="L87" s="14"/>
      <c r="M87" s="14"/>
      <c r="O87" s="4">
        <v>66670</v>
      </c>
      <c r="P87" s="3">
        <v>0.72884213817145704</v>
      </c>
    </row>
    <row r="88" spans="1:16">
      <c r="A88">
        <v>43</v>
      </c>
      <c r="B88" s="4">
        <v>60461</v>
      </c>
      <c r="C88" s="14">
        <v>0.47139160614948861</v>
      </c>
      <c r="D88" s="14">
        <v>0.48749599328334481</v>
      </c>
      <c r="E88" s="14">
        <v>8.6626516188248893E-3</v>
      </c>
      <c r="F88" s="14">
        <v>0.50555555555555554</v>
      </c>
      <c r="G88" s="14">
        <v>0</v>
      </c>
      <c r="H88" s="14"/>
      <c r="I88" s="14"/>
      <c r="J88" s="14">
        <f t="shared" si="22"/>
        <v>0.52091596341586666</v>
      </c>
      <c r="K88" s="14">
        <f t="shared" si="24"/>
        <v>0.71521380550520353</v>
      </c>
      <c r="L88" s="14"/>
      <c r="M88" s="14"/>
    </row>
    <row r="89" spans="1:16">
      <c r="A89">
        <v>43.5</v>
      </c>
      <c r="B89" s="4">
        <v>60644</v>
      </c>
      <c r="C89" s="14">
        <v>0.46846995448104201</v>
      </c>
      <c r="D89" s="14">
        <v>0.48538748473141352</v>
      </c>
      <c r="E89" s="14">
        <v>8.5453174166054604E-3</v>
      </c>
      <c r="F89" s="14">
        <v>0.5083333333333333</v>
      </c>
      <c r="G89" s="14">
        <v>0</v>
      </c>
      <c r="H89" s="14"/>
      <c r="I89" s="14"/>
      <c r="J89" s="14">
        <f t="shared" si="22"/>
        <v>0.5229509358503015</v>
      </c>
      <c r="K89" s="14">
        <f t="shared" si="24"/>
        <v>0.71212044708179267</v>
      </c>
      <c r="L89" s="14"/>
      <c r="M89" s="14"/>
      <c r="O89" s="4">
        <v>63017</v>
      </c>
      <c r="P89" cm="1">
        <f t="array" ref="P89">interpolate(O86:O87,P86:P87,O89,"Natural Cubic Spline")</f>
        <v>0.73246246953155403</v>
      </c>
    </row>
    <row r="90" spans="1:16">
      <c r="A90">
        <v>44</v>
      </c>
      <c r="B90" s="4">
        <v>60825</v>
      </c>
      <c r="C90" s="14">
        <v>0.46562578064583421</v>
      </c>
      <c r="D90" s="14">
        <v>0.48333624725846241</v>
      </c>
      <c r="E90" s="14">
        <v>8.4409339494139791E-3</v>
      </c>
      <c r="F90" s="14">
        <v>0.50277777777777777</v>
      </c>
      <c r="G90" s="14">
        <v>0</v>
      </c>
      <c r="H90" s="14"/>
      <c r="I90" s="14"/>
      <c r="J90" s="14">
        <f t="shared" si="22"/>
        <v>0.52492701162581046</v>
      </c>
      <c r="K90" s="14">
        <f t="shared" si="24"/>
        <v>0.70911104079865139</v>
      </c>
      <c r="L90" s="14"/>
      <c r="M90" s="14"/>
      <c r="O90" s="4">
        <v>66488</v>
      </c>
      <c r="P90" cm="1">
        <f t="array" ref="P90">interpolate(O86:O87,P86:P87,O90,"Natural Cubic Spline")</f>
        <v>0.72902251055238709</v>
      </c>
    </row>
    <row r="91" spans="1:16">
      <c r="A91">
        <v>44.5</v>
      </c>
      <c r="B91" s="4">
        <v>61009</v>
      </c>
      <c r="C91" s="14">
        <v>0.46277995896916652</v>
      </c>
      <c r="D91" s="14">
        <v>0.48128244372266532</v>
      </c>
      <c r="E91" s="14">
        <v>8.3491748309134205E-3</v>
      </c>
      <c r="F91" s="14">
        <v>0.51111111111111107</v>
      </c>
      <c r="G91" s="14">
        <v>0</v>
      </c>
      <c r="H91" s="14"/>
      <c r="I91" s="14"/>
      <c r="J91" s="14">
        <f t="shared" si="22"/>
        <v>0.52690185847182291</v>
      </c>
      <c r="K91" s="14">
        <f t="shared" si="24"/>
        <v>0.70609786979994049</v>
      </c>
      <c r="L91" s="14"/>
      <c r="M91" s="14"/>
    </row>
    <row r="92" spans="1:16">
      <c r="A92">
        <v>45</v>
      </c>
      <c r="B92" s="4">
        <v>61190</v>
      </c>
      <c r="C92" s="14">
        <v>0.46002438942535051</v>
      </c>
      <c r="D92" s="14">
        <v>0.47928971420650379</v>
      </c>
      <c r="E92" s="14">
        <v>8.2694032527044995E-3</v>
      </c>
      <c r="F92" s="14">
        <v>0.50277777777777777</v>
      </c>
      <c r="G92" s="14">
        <v>0</v>
      </c>
      <c r="H92" s="14"/>
      <c r="I92" s="14"/>
      <c r="J92" s="14">
        <f t="shared" si="22"/>
        <v>0.5288144890828923</v>
      </c>
      <c r="K92" s="14">
        <f t="shared" si="24"/>
        <v>0.70317430156095473</v>
      </c>
      <c r="L92" s="14"/>
      <c r="M92" s="14"/>
    </row>
    <row r="93" spans="1:16">
      <c r="A93">
        <v>45.5</v>
      </c>
      <c r="B93" s="4">
        <v>61374</v>
      </c>
      <c r="C93" s="14">
        <v>0.45726682763226401</v>
      </c>
      <c r="D93" s="14">
        <v>0.47728865240006779</v>
      </c>
      <c r="E93" s="14">
        <v>8.2028368073458306E-3</v>
      </c>
      <c r="F93" s="14">
        <v>0.51111111111111107</v>
      </c>
      <c r="G93" s="14">
        <v>0</v>
      </c>
      <c r="H93" s="14"/>
      <c r="I93" s="14"/>
      <c r="J93" s="14">
        <f t="shared" si="22"/>
        <v>0.53073160816695997</v>
      </c>
      <c r="K93" s="14">
        <f t="shared" si="24"/>
        <v>0.70023850887353911</v>
      </c>
      <c r="L93" s="14"/>
      <c r="M93" s="14"/>
    </row>
    <row r="94" spans="1:16">
      <c r="A94">
        <v>46</v>
      </c>
      <c r="B94" s="4">
        <v>61556</v>
      </c>
      <c r="C94" s="14">
        <v>0.45458169239949059</v>
      </c>
      <c r="D94" s="14">
        <v>0.47533058089557279</v>
      </c>
      <c r="E94" s="14">
        <v>8.1482417208092097E-3</v>
      </c>
      <c r="F94" s="14">
        <v>0.50555555555555554</v>
      </c>
      <c r="G94" s="14">
        <v>0</v>
      </c>
      <c r="H94" s="14"/>
      <c r="I94" s="14"/>
      <c r="J94" s="14">
        <f t="shared" si="22"/>
        <v>0.53260420693112009</v>
      </c>
      <c r="K94" s="14">
        <f t="shared" si="24"/>
        <v>0.69736578800812432</v>
      </c>
      <c r="L94" s="14"/>
      <c r="M94" s="14"/>
    </row>
    <row r="95" spans="1:16">
      <c r="A95">
        <v>46.5</v>
      </c>
      <c r="B95" s="4">
        <v>61742</v>
      </c>
      <c r="C95" s="14">
        <v>0.45188028198482799</v>
      </c>
      <c r="D95" s="14">
        <v>0.47334797928999178</v>
      </c>
      <c r="E95" s="14">
        <v>8.1067071119907304E-3</v>
      </c>
      <c r="F95" s="14">
        <v>0.51666666666666672</v>
      </c>
      <c r="G95" s="14">
        <v>0</v>
      </c>
      <c r="H95" s="14"/>
      <c r="I95" s="14"/>
      <c r="J95" s="14">
        <f t="shared" si="22"/>
        <v>0.53449689183058302</v>
      </c>
      <c r="K95" s="14">
        <f t="shared" si="24"/>
        <v>0.69445707860344608</v>
      </c>
      <c r="L95" s="14"/>
      <c r="M95" s="14"/>
    </row>
    <row r="96" spans="1:16">
      <c r="A96">
        <v>47</v>
      </c>
      <c r="B96" s="4">
        <v>61921</v>
      </c>
      <c r="C96" s="14">
        <v>0.44932051302385029</v>
      </c>
      <c r="D96" s="14">
        <v>0.47145456425612797</v>
      </c>
      <c r="E96" s="14">
        <v>8.0772026974377208E-3</v>
      </c>
      <c r="F96" s="14">
        <v>0.49722222222222218</v>
      </c>
      <c r="G96" s="14">
        <v>0</v>
      </c>
      <c r="H96" s="14"/>
      <c r="I96" s="14"/>
      <c r="J96" s="14">
        <f t="shared" si="22"/>
        <v>0.53630143700254429</v>
      </c>
      <c r="K96" s="14">
        <f t="shared" si="24"/>
        <v>0.69167918111014337</v>
      </c>
      <c r="L96" s="14"/>
      <c r="M96" s="14"/>
    </row>
    <row r="97" spans="1:13">
      <c r="A97">
        <v>47.5</v>
      </c>
      <c r="B97" s="4">
        <v>62106</v>
      </c>
      <c r="C97" s="14">
        <v>0.44671531179977891</v>
      </c>
      <c r="D97" s="14">
        <v>0.46950955127735849</v>
      </c>
      <c r="E97" s="14">
        <v>8.0613698071773897E-3</v>
      </c>
      <c r="F97" s="14">
        <v>0.51388888888888884</v>
      </c>
      <c r="G97" s="14">
        <v>0</v>
      </c>
      <c r="H97" s="14"/>
      <c r="I97" s="14"/>
      <c r="J97" s="14">
        <f t="shared" si="22"/>
        <v>0.53815202146222518</v>
      </c>
      <c r="K97" s="14">
        <f t="shared" si="24"/>
        <v>0.68882561878112747</v>
      </c>
      <c r="L97" s="14"/>
      <c r="M97" s="14"/>
    </row>
    <row r="98" spans="1:13">
      <c r="A98">
        <v>48</v>
      </c>
      <c r="B98" s="4">
        <v>62288</v>
      </c>
      <c r="C98" s="14">
        <v>0.44419159681857179</v>
      </c>
      <c r="D98" s="14">
        <v>0.46760479806134042</v>
      </c>
      <c r="E98" s="14">
        <v>8.0573247742801099E-3</v>
      </c>
      <c r="F98" s="14">
        <v>0.50555555555555554</v>
      </c>
      <c r="G98" s="14">
        <v>0</v>
      </c>
      <c r="H98" s="14"/>
      <c r="I98" s="14"/>
      <c r="J98" s="14">
        <f t="shared" si="22"/>
        <v>0.5399614027518872</v>
      </c>
      <c r="K98" s="14">
        <f t="shared" si="24"/>
        <v>0.68603112224941809</v>
      </c>
      <c r="L98" s="14"/>
      <c r="M98" s="14"/>
    </row>
    <row r="99" spans="1:13">
      <c r="A99">
        <v>48.5</v>
      </c>
      <c r="B99" s="4">
        <v>62470</v>
      </c>
      <c r="C99" s="14">
        <v>0.44170601590680081</v>
      </c>
      <c r="D99" s="14">
        <v>0.46570569634089187</v>
      </c>
      <c r="E99" s="14">
        <v>8.0664530618313798E-3</v>
      </c>
      <c r="F99" s="14">
        <v>0.50555555555555554</v>
      </c>
      <c r="G99" s="14">
        <v>0</v>
      </c>
      <c r="H99" s="14"/>
      <c r="I99" s="14"/>
      <c r="J99" s="14">
        <f t="shared" si="22"/>
        <v>0.54176269762324336</v>
      </c>
      <c r="K99" s="14">
        <f t="shared" si="24"/>
        <v>0.68324482242511442</v>
      </c>
      <c r="L99" s="14"/>
      <c r="M99" s="14"/>
    </row>
    <row r="100" spans="1:13">
      <c r="A100">
        <v>49</v>
      </c>
      <c r="B100" s="4">
        <v>62652</v>
      </c>
      <c r="C100" s="14">
        <v>0.4392578039092318</v>
      </c>
      <c r="D100" s="14">
        <v>0.46380931440043982</v>
      </c>
      <c r="E100" s="14">
        <v>8.0875589180164006E-3</v>
      </c>
      <c r="F100" s="14">
        <v>0.50555555555555554</v>
      </c>
      <c r="G100" s="14">
        <v>0</v>
      </c>
      <c r="H100" s="14"/>
      <c r="I100" s="14"/>
      <c r="J100" s="14">
        <f t="shared" ref="J100:J122" si="25">J99+(E100*F100*C100)</f>
        <v>0.54355869554884118</v>
      </c>
      <c r="K100" s="14">
        <f t="shared" si="24"/>
        <v>0.68046260792283353</v>
      </c>
      <c r="L100" s="14"/>
      <c r="M100" s="14"/>
    </row>
    <row r="101" spans="1:13">
      <c r="A101">
        <v>49.5</v>
      </c>
      <c r="B101" s="4">
        <v>62835</v>
      </c>
      <c r="C101" s="14">
        <v>0.43683305994826649</v>
      </c>
      <c r="D101" s="14">
        <v>0.46190234191945129</v>
      </c>
      <c r="E101" s="14">
        <v>8.1218840242567106E-3</v>
      </c>
      <c r="F101" s="14">
        <v>0.5083333333333333</v>
      </c>
      <c r="G101" s="14">
        <v>0</v>
      </c>
      <c r="H101" s="14"/>
      <c r="I101" s="14"/>
      <c r="J101" s="14">
        <f t="shared" si="25"/>
        <v>0.54536221516969552</v>
      </c>
      <c r="K101" s="14">
        <f>(M102*(G102/100*I102-J101+C102))/C102</f>
        <v>0.67766478457245982</v>
      </c>
      <c r="L101" s="14"/>
      <c r="M101" s="14"/>
    </row>
    <row r="102" spans="1:13">
      <c r="A102">
        <v>50</v>
      </c>
      <c r="B102" s="4">
        <v>63017</v>
      </c>
      <c r="C102" s="14">
        <v>0.43445754508781198</v>
      </c>
      <c r="D102" s="14">
        <v>0.46000277084258262</v>
      </c>
      <c r="E102" s="14">
        <v>8.1681971871145394E-3</v>
      </c>
      <c r="F102" s="14">
        <v>0.50555555555555554</v>
      </c>
      <c r="G102" s="14">
        <v>1.5962332332290012</v>
      </c>
      <c r="H102" s="14">
        <v>0.99722222222222223</v>
      </c>
      <c r="I102" s="14">
        <v>32.129337357042132</v>
      </c>
      <c r="J102" s="14">
        <f t="shared" si="25"/>
        <v>0.54715629781242514</v>
      </c>
      <c r="K102" s="14">
        <f t="shared" ref="K102:K120" si="26">K103*(1+E103*F103)</f>
        <v>0.79175727149446318</v>
      </c>
      <c r="L102" s="14"/>
      <c r="M102" s="14">
        <f>P89</f>
        <v>0.73246246953155403</v>
      </c>
    </row>
    <row r="103" spans="1:13">
      <c r="A103">
        <v>50.5</v>
      </c>
      <c r="B103" s="4">
        <v>63201</v>
      </c>
      <c r="C103" s="14">
        <v>0.43209151992901568</v>
      </c>
      <c r="D103" s="14">
        <v>0.45807702898065161</v>
      </c>
      <c r="E103" s="14">
        <v>8.2251577321086899E-3</v>
      </c>
      <c r="F103" s="14">
        <v>0.51111111111111107</v>
      </c>
      <c r="G103" s="14">
        <v>0</v>
      </c>
      <c r="H103" s="14"/>
      <c r="I103" s="14"/>
      <c r="J103" s="14">
        <f t="shared" si="25"/>
        <v>0.5489727973866656</v>
      </c>
      <c r="K103" s="14">
        <f t="shared" si="26"/>
        <v>0.78844268249880911</v>
      </c>
      <c r="L103" s="14"/>
      <c r="M103" s="14"/>
    </row>
    <row r="104" spans="1:13">
      <c r="A104">
        <v>51</v>
      </c>
      <c r="B104" s="4">
        <v>63382</v>
      </c>
      <c r="C104" s="14">
        <v>0.42979759775090948</v>
      </c>
      <c r="D104" s="14">
        <v>0.45617770642395977</v>
      </c>
      <c r="E104" s="14">
        <v>8.2811107833842199E-3</v>
      </c>
      <c r="F104" s="14">
        <v>0.50277777777777777</v>
      </c>
      <c r="G104" s="14">
        <v>0</v>
      </c>
      <c r="H104" s="14"/>
      <c r="I104" s="14"/>
      <c r="J104" s="14">
        <f t="shared" si="25"/>
        <v>0.55076228481826228</v>
      </c>
      <c r="K104" s="14">
        <f t="shared" si="26"/>
        <v>0.78517356644018255</v>
      </c>
      <c r="L104" s="14"/>
      <c r="M104" s="14"/>
    </row>
    <row r="105" spans="1:13">
      <c r="A105">
        <v>51.5</v>
      </c>
      <c r="B105" s="4">
        <v>63566</v>
      </c>
      <c r="C105" s="14">
        <v>0.42749820729406318</v>
      </c>
      <c r="D105" s="14">
        <v>0.45424265881200709</v>
      </c>
      <c r="E105" s="14">
        <v>8.3346701275028908E-3</v>
      </c>
      <c r="F105" s="14">
        <v>0.51111111111111107</v>
      </c>
      <c r="G105" s="14">
        <v>0</v>
      </c>
      <c r="H105" s="14"/>
      <c r="I105" s="14"/>
      <c r="J105" s="14">
        <f t="shared" si="25"/>
        <v>0.55258340260429739</v>
      </c>
      <c r="K105" s="14">
        <f t="shared" si="26"/>
        <v>0.7818429603774294</v>
      </c>
      <c r="L105" s="14"/>
      <c r="M105" s="14"/>
    </row>
    <row r="106" spans="1:13">
      <c r="A106">
        <v>52</v>
      </c>
      <c r="B106" s="4">
        <v>63747</v>
      </c>
      <c r="C106" s="14">
        <v>0.42526686220753063</v>
      </c>
      <c r="D106" s="14">
        <v>0.45233577293794869</v>
      </c>
      <c r="E106" s="14">
        <v>8.3847031627381999E-3</v>
      </c>
      <c r="F106" s="14">
        <v>0.50277777777777777</v>
      </c>
      <c r="G106" s="14">
        <v>0</v>
      </c>
      <c r="H106" s="14"/>
      <c r="I106" s="14"/>
      <c r="J106" s="14">
        <f t="shared" si="25"/>
        <v>0.55437617562992303</v>
      </c>
      <c r="K106" s="14">
        <f t="shared" si="26"/>
        <v>0.77856082632869239</v>
      </c>
      <c r="L106" s="14"/>
      <c r="M106" s="14"/>
    </row>
    <row r="107" spans="1:13">
      <c r="A107">
        <v>52.5</v>
      </c>
      <c r="B107" s="4">
        <v>63933</v>
      </c>
      <c r="C107" s="14">
        <v>0.42300395048401113</v>
      </c>
      <c r="D107" s="14">
        <v>0.45037351900654238</v>
      </c>
      <c r="E107" s="14">
        <v>8.4328022734497608E-3</v>
      </c>
      <c r="F107" s="14">
        <v>0.51666666666666672</v>
      </c>
      <c r="G107" s="14">
        <v>0</v>
      </c>
      <c r="H107" s="14"/>
      <c r="I107" s="14"/>
      <c r="J107" s="14">
        <f t="shared" si="25"/>
        <v>0.55621918177883822</v>
      </c>
      <c r="K107" s="14">
        <f t="shared" si="26"/>
        <v>0.77518339271918657</v>
      </c>
      <c r="L107" s="14"/>
      <c r="M107" s="14"/>
    </row>
    <row r="108" spans="1:13">
      <c r="A108">
        <v>53</v>
      </c>
      <c r="B108" s="4">
        <v>64112</v>
      </c>
      <c r="C108" s="14">
        <v>0.42085359185350152</v>
      </c>
      <c r="D108" s="14">
        <v>0.44848329287351291</v>
      </c>
      <c r="E108" s="14">
        <v>8.4771553101963201E-3</v>
      </c>
      <c r="F108" s="14">
        <v>0.49722222222222218</v>
      </c>
      <c r="G108" s="14">
        <v>0</v>
      </c>
      <c r="H108" s="14"/>
      <c r="I108" s="14"/>
      <c r="J108" s="14">
        <f t="shared" si="25"/>
        <v>0.55799309229472238</v>
      </c>
      <c r="K108" s="14">
        <f t="shared" si="26"/>
        <v>0.77192968593395828</v>
      </c>
      <c r="L108" s="14"/>
      <c r="M108" s="14"/>
    </row>
    <row r="109" spans="1:13">
      <c r="A109">
        <v>53.5</v>
      </c>
      <c r="B109" s="4">
        <v>64297</v>
      </c>
      <c r="C109" s="14">
        <v>0.41865796586185228</v>
      </c>
      <c r="D109" s="14">
        <v>0.44652860355843721</v>
      </c>
      <c r="E109" s="14">
        <v>8.5184234961502292E-3</v>
      </c>
      <c r="F109" s="14">
        <v>0.51388888888888884</v>
      </c>
      <c r="G109" s="14">
        <v>0</v>
      </c>
      <c r="H109" s="14"/>
      <c r="I109" s="14"/>
      <c r="J109" s="14">
        <f t="shared" si="25"/>
        <v>0.55982577724708593</v>
      </c>
      <c r="K109" s="14">
        <f t="shared" si="26"/>
        <v>0.76856527362906024</v>
      </c>
      <c r="L109" s="14"/>
      <c r="M109" s="14"/>
    </row>
    <row r="110" spans="1:13">
      <c r="A110">
        <v>54</v>
      </c>
      <c r="B110" s="4">
        <v>64479</v>
      </c>
      <c r="C110" s="14">
        <v>0.41652316909722831</v>
      </c>
      <c r="D110" s="14">
        <v>0.44460526621556679</v>
      </c>
      <c r="E110" s="14">
        <v>8.5568116809111999E-3</v>
      </c>
      <c r="F110" s="14">
        <v>0.50555555555555554</v>
      </c>
      <c r="G110" s="14">
        <v>0</v>
      </c>
      <c r="H110" s="14"/>
      <c r="I110" s="14"/>
      <c r="J110" s="14">
        <f t="shared" si="25"/>
        <v>0.56162763301931828</v>
      </c>
      <c r="K110" s="14">
        <f t="shared" si="26"/>
        <v>0.76525482435565617</v>
      </c>
      <c r="L110" s="14"/>
      <c r="M110" s="14"/>
    </row>
    <row r="111" spans="1:13">
      <c r="A111">
        <v>54.5</v>
      </c>
      <c r="B111" s="4">
        <v>64662</v>
      </c>
      <c r="C111" s="14">
        <v>0.41440051403291073</v>
      </c>
      <c r="D111" s="14">
        <v>0.44267175799546321</v>
      </c>
      <c r="E111" s="14">
        <v>8.5926166609796902E-3</v>
      </c>
      <c r="F111" s="14">
        <v>0.5083333333333333</v>
      </c>
      <c r="G111" s="14">
        <v>0</v>
      </c>
      <c r="H111" s="14"/>
      <c r="I111" s="14"/>
      <c r="J111" s="14">
        <f t="shared" si="25"/>
        <v>0.56343769860626047</v>
      </c>
      <c r="K111" s="14">
        <f t="shared" si="26"/>
        <v>0.76192679404928387</v>
      </c>
      <c r="L111" s="14"/>
      <c r="M111" s="14"/>
    </row>
    <row r="112" spans="1:13">
      <c r="A112">
        <v>55</v>
      </c>
      <c r="B112" s="4">
        <v>64843</v>
      </c>
      <c r="C112" s="14">
        <v>0.41232330304732701</v>
      </c>
      <c r="D112" s="14">
        <v>0.4407604879776853</v>
      </c>
      <c r="E112" s="14">
        <v>8.6246864987292293E-3</v>
      </c>
      <c r="F112" s="14">
        <v>0.50277777777777777</v>
      </c>
      <c r="G112" s="14">
        <v>0</v>
      </c>
      <c r="H112" s="14"/>
      <c r="I112" s="14"/>
      <c r="J112" s="14">
        <f t="shared" si="25"/>
        <v>0.56522565643878153</v>
      </c>
      <c r="K112" s="14">
        <f t="shared" si="26"/>
        <v>0.75863711538579226</v>
      </c>
      <c r="L112" s="14"/>
      <c r="M112" s="14"/>
    </row>
    <row r="113" spans="1:13">
      <c r="A113">
        <v>55.5</v>
      </c>
      <c r="B113" s="4">
        <v>65027</v>
      </c>
      <c r="C113" s="14">
        <v>0.41023303462068861</v>
      </c>
      <c r="D113" s="14">
        <v>0.43881938792169117</v>
      </c>
      <c r="E113" s="14">
        <v>8.6545958585986602E-3</v>
      </c>
      <c r="F113" s="14">
        <v>0.51111111111111107</v>
      </c>
      <c r="G113" s="14">
        <v>0</v>
      </c>
      <c r="H113" s="14"/>
      <c r="I113" s="14"/>
      <c r="J113" s="14">
        <f t="shared" si="25"/>
        <v>0.56704030590138677</v>
      </c>
      <c r="K113" s="14">
        <f t="shared" si="26"/>
        <v>0.75529609324945879</v>
      </c>
      <c r="L113" s="14"/>
      <c r="M113" s="14"/>
    </row>
    <row r="114" spans="1:13">
      <c r="A114">
        <v>56</v>
      </c>
      <c r="B114" s="4">
        <v>65208</v>
      </c>
      <c r="C114" s="14">
        <v>0.40819661459807471</v>
      </c>
      <c r="D114" s="14">
        <v>0.43691244865275902</v>
      </c>
      <c r="E114" s="14">
        <v>8.6809322952843097E-3</v>
      </c>
      <c r="F114" s="14">
        <v>0.50277777777777777</v>
      </c>
      <c r="G114" s="14">
        <v>0</v>
      </c>
      <c r="H114" s="14"/>
      <c r="I114" s="14"/>
      <c r="J114" s="14">
        <f t="shared" si="25"/>
        <v>0.56882191261967208</v>
      </c>
      <c r="K114" s="14">
        <f t="shared" si="26"/>
        <v>0.75201386867248665</v>
      </c>
      <c r="L114" s="14"/>
      <c r="M114" s="14"/>
    </row>
    <row r="115" spans="1:13">
      <c r="A115">
        <v>56.5</v>
      </c>
      <c r="B115" s="4">
        <v>65392</v>
      </c>
      <c r="C115" s="14">
        <v>0.40614527843017612</v>
      </c>
      <c r="D115" s="14">
        <v>0.43497715428004807</v>
      </c>
      <c r="E115" s="14">
        <v>8.7049296142755594E-3</v>
      </c>
      <c r="F115" s="14">
        <v>0.51111111111111107</v>
      </c>
      <c r="G115" s="14">
        <v>0</v>
      </c>
      <c r="H115" s="14"/>
      <c r="I115" s="14"/>
      <c r="J115" s="14">
        <f t="shared" si="25"/>
        <v>0.57062892860686798</v>
      </c>
      <c r="K115" s="14">
        <f t="shared" si="26"/>
        <v>0.7486828392803736</v>
      </c>
      <c r="L115" s="14"/>
      <c r="M115" s="14"/>
    </row>
    <row r="116" spans="1:13">
      <c r="A116">
        <v>57</v>
      </c>
      <c r="B116" s="4">
        <v>65573</v>
      </c>
      <c r="C116" s="14">
        <v>0.40414470883480152</v>
      </c>
      <c r="D116" s="14">
        <v>0.43307728307130727</v>
      </c>
      <c r="E116" s="14">
        <v>8.7253465216486307E-3</v>
      </c>
      <c r="F116" s="14">
        <v>0.50277777777777777</v>
      </c>
      <c r="G116" s="14">
        <v>0</v>
      </c>
      <c r="H116" s="14"/>
      <c r="I116" s="14"/>
      <c r="J116" s="14">
        <f t="shared" si="25"/>
        <v>0.57240187520668706</v>
      </c>
      <c r="K116" s="14">
        <f t="shared" si="26"/>
        <v>0.74541278025122448</v>
      </c>
      <c r="L116" s="14"/>
      <c r="M116" s="14"/>
    </row>
    <row r="117" spans="1:13">
      <c r="A117">
        <v>57.5</v>
      </c>
      <c r="B117" s="4">
        <v>65757</v>
      </c>
      <c r="C117" s="14">
        <v>0.40212737607779281</v>
      </c>
      <c r="D117" s="14">
        <v>0.43115052977559809</v>
      </c>
      <c r="E117" s="14">
        <v>8.7434305391164303E-3</v>
      </c>
      <c r="F117" s="14">
        <v>0.51111111111111107</v>
      </c>
      <c r="G117" s="14">
        <v>0</v>
      </c>
      <c r="H117" s="14"/>
      <c r="I117" s="14"/>
      <c r="J117" s="14">
        <f t="shared" si="25"/>
        <v>0.57419892796122274</v>
      </c>
      <c r="K117" s="14">
        <f t="shared" si="26"/>
        <v>0.74209645176401473</v>
      </c>
      <c r="L117" s="14"/>
      <c r="M117" s="14"/>
    </row>
    <row r="118" spans="1:13">
      <c r="A118">
        <v>58</v>
      </c>
      <c r="B118" s="4">
        <v>65939</v>
      </c>
      <c r="C118" s="14">
        <v>0.40014705654540328</v>
      </c>
      <c r="D118" s="14">
        <v>0.42924994370055652</v>
      </c>
      <c r="E118" s="14">
        <v>8.7580699374005203E-3</v>
      </c>
      <c r="F118" s="14">
        <v>0.50555555555555554</v>
      </c>
      <c r="G118" s="14">
        <v>0</v>
      </c>
      <c r="H118" s="14"/>
      <c r="I118" s="14"/>
      <c r="J118" s="14">
        <f t="shared" si="25"/>
        <v>0.57597065544727122</v>
      </c>
      <c r="K118" s="14">
        <f t="shared" si="26"/>
        <v>0.73882516230672357</v>
      </c>
      <c r="L118" s="14"/>
      <c r="M118" s="14"/>
    </row>
    <row r="119" spans="1:13">
      <c r="A119">
        <v>58.5</v>
      </c>
      <c r="B119" s="4">
        <v>66124</v>
      </c>
      <c r="C119" s="14">
        <v>0.39814828570278787</v>
      </c>
      <c r="D119" s="14">
        <v>0.42732401412408821</v>
      </c>
      <c r="E119" s="14">
        <v>8.77028841729857E-3</v>
      </c>
      <c r="F119" s="14">
        <v>0.51388888888888884</v>
      </c>
      <c r="G119" s="14">
        <v>0</v>
      </c>
      <c r="H119" s="14"/>
      <c r="I119" s="14"/>
      <c r="J119" s="14">
        <f t="shared" si="25"/>
        <v>0.57776509136453869</v>
      </c>
      <c r="K119" s="14">
        <f t="shared" si="26"/>
        <v>0.73551025160537664</v>
      </c>
      <c r="L119" s="14"/>
      <c r="M119" s="14"/>
    </row>
    <row r="120" spans="1:13">
      <c r="A120">
        <v>59</v>
      </c>
      <c r="B120" s="4">
        <v>66306</v>
      </c>
      <c r="C120" s="14">
        <v>0.39619474870736199</v>
      </c>
      <c r="D120" s="14">
        <v>0.42543583897085763</v>
      </c>
      <c r="E120" s="14">
        <v>8.7788841684794394E-3</v>
      </c>
      <c r="F120" s="14">
        <v>0.50555555555555554</v>
      </c>
      <c r="G120" s="14">
        <v>0</v>
      </c>
      <c r="H120" s="14"/>
      <c r="I120" s="14"/>
      <c r="J120" s="14">
        <f t="shared" si="25"/>
        <v>0.57952348831144218</v>
      </c>
      <c r="K120" s="14">
        <f t="shared" si="26"/>
        <v>0.73226032383130979</v>
      </c>
      <c r="L120" s="14"/>
      <c r="M120" s="14"/>
    </row>
    <row r="121" spans="1:13">
      <c r="A121">
        <v>59.5</v>
      </c>
      <c r="B121" s="4">
        <v>66488</v>
      </c>
      <c r="C121" s="14">
        <v>0.39425281878583501</v>
      </c>
      <c r="D121" s="14">
        <v>0.4235547524322909</v>
      </c>
      <c r="E121" s="14">
        <v>8.7850042128156895E-3</v>
      </c>
      <c r="F121" s="14">
        <v>0.50555555555555554</v>
      </c>
      <c r="G121" s="14">
        <v>0</v>
      </c>
      <c r="H121" s="14"/>
      <c r="I121" s="14"/>
      <c r="J121" s="14">
        <f t="shared" si="25"/>
        <v>0.58127448638549373</v>
      </c>
      <c r="K121" s="14">
        <f>(K122*(G122/100*I122-J121+C122))/C122</f>
        <v>0.7290225105523872</v>
      </c>
      <c r="L121" s="14"/>
      <c r="M121" s="14"/>
    </row>
    <row r="122" spans="1:13">
      <c r="A122">
        <v>60</v>
      </c>
      <c r="B122" s="4">
        <v>66670</v>
      </c>
      <c r="C122" s="14">
        <v>0.39232141315840419</v>
      </c>
      <c r="D122" s="14">
        <v>0.42168135874896218</v>
      </c>
      <c r="E122" s="14">
        <v>8.7877109154303693E-3</v>
      </c>
      <c r="F122" s="14">
        <v>0.50555555555555554</v>
      </c>
      <c r="G122" s="14">
        <v>1.6067586285327855</v>
      </c>
      <c r="H122" s="14">
        <v>0.99722222222222223</v>
      </c>
      <c r="I122" s="14">
        <v>36.236229389371289</v>
      </c>
      <c r="J122" s="14">
        <f t="shared" si="25"/>
        <v>0.58301744334101591</v>
      </c>
      <c r="K122" s="15">
        <f>(C122*P90)/(G122/100*I122-J121+C122)</f>
        <v>0.72725358827434938</v>
      </c>
      <c r="L122" s="15">
        <v>0.72725358827434905</v>
      </c>
      <c r="M122" s="14">
        <f>K122</f>
        <v>0.72725358827434938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CDB7-0E86-4E4A-BCCA-A0D90BC39A03}">
  <sheetPr codeName="Sheet7"/>
  <dimension ref="A1:Q122"/>
  <sheetViews>
    <sheetView zoomScaleNormal="100" workbookViewId="0">
      <pane ySplit="1" topLeftCell="A2" activePane="bottomLeft" state="frozen"/>
      <selection pane="bottomLeft" activeCell="S109" sqref="S109"/>
    </sheetView>
  </sheetViews>
  <sheetFormatPr defaultRowHeight="14.4"/>
  <cols>
    <col min="1" max="2" width="10.77734375" bestFit="1" customWidth="1"/>
    <col min="13" max="13" width="10.5546875" bestFit="1" customWidth="1"/>
    <col min="16" max="16" width="10.5546875" bestFit="1" customWidth="1"/>
    <col min="17" max="17" width="6.554687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9" t="s">
        <v>18</v>
      </c>
      <c r="M1" s="10" t="s">
        <v>19</v>
      </c>
    </row>
    <row r="2" spans="1:13">
      <c r="A2">
        <v>0</v>
      </c>
      <c r="B2" s="4">
        <v>44754</v>
      </c>
      <c r="D2">
        <v>1</v>
      </c>
      <c r="E2">
        <v>0</v>
      </c>
      <c r="F2">
        <v>0</v>
      </c>
      <c r="K2">
        <f>K3*(1+G3/100*F3)</f>
        <v>0.99999998974919602</v>
      </c>
    </row>
    <row r="3" spans="1:13">
      <c r="A3">
        <v>0.5</v>
      </c>
      <c r="B3" s="4">
        <v>44938</v>
      </c>
      <c r="C3" s="14">
        <v>0.99904288423151055</v>
      </c>
      <c r="D3" s="14">
        <v>0.99801063213993446</v>
      </c>
      <c r="E3" s="14">
        <v>3.89999999999991E-3</v>
      </c>
      <c r="F3" s="14">
        <v>0.51111111111111107</v>
      </c>
      <c r="G3" s="14">
        <v>0.3899704930750495</v>
      </c>
      <c r="H3" s="14"/>
      <c r="I3" s="14"/>
      <c r="J3" s="14">
        <f>E3*F3*C3</f>
        <v>1.9914254825680981E-3</v>
      </c>
      <c r="K3" s="14">
        <f>K4*(1+G4/100*F4)</f>
        <v>0.99801077212326716</v>
      </c>
      <c r="L3" s="14"/>
      <c r="M3" s="14">
        <f t="shared" ref="M3:M5" si="0">K3</f>
        <v>0.99801077212326716</v>
      </c>
    </row>
    <row r="4" spans="1:13">
      <c r="A4">
        <v>1</v>
      </c>
      <c r="B4" s="4">
        <v>45119</v>
      </c>
      <c r="C4" s="14">
        <v>0.99324592130854139</v>
      </c>
      <c r="D4" s="14">
        <v>0.99104474380986662</v>
      </c>
      <c r="E4" s="14">
        <v>1.3979999999904E-2</v>
      </c>
      <c r="F4" s="14">
        <v>0.50277777777777777</v>
      </c>
      <c r="G4" s="14">
        <v>1.3976288982783662</v>
      </c>
      <c r="H4" s="14">
        <v>1</v>
      </c>
      <c r="I4" s="14">
        <v>0.99324592130854139</v>
      </c>
      <c r="J4" s="14">
        <f t="shared" ref="J4:J35" si="1">J3+(E4*F4*C4)</f>
        <v>8.9727855224110108E-3</v>
      </c>
      <c r="K4" s="14">
        <f>K5*(1+G5/100*F5)</f>
        <v>0.99104671902152375</v>
      </c>
      <c r="L4" s="14"/>
      <c r="M4" s="14">
        <f t="shared" si="0"/>
        <v>0.99104671902152375</v>
      </c>
    </row>
    <row r="5" spans="1:13">
      <c r="A5">
        <v>1.5</v>
      </c>
      <c r="B5" s="4">
        <v>45303</v>
      </c>
      <c r="C5" s="14">
        <v>0.9860284425870447</v>
      </c>
      <c r="D5" s="14">
        <v>0.98259746260138792</v>
      </c>
      <c r="E5" s="14">
        <v>1.6819999999980999E-2</v>
      </c>
      <c r="F5" s="14">
        <v>0.51111111111111107</v>
      </c>
      <c r="G5" s="14">
        <v>1.6814547517529972</v>
      </c>
      <c r="H5" s="14"/>
      <c r="I5" s="14"/>
      <c r="J5" s="14">
        <f t="shared" si="1"/>
        <v>1.7449562484606416E-2</v>
      </c>
      <c r="K5" s="14">
        <f>(K6*(G6/100*I6-J5+C6)/C6)</f>
        <v>0.98260213597613411</v>
      </c>
      <c r="L5" s="14"/>
      <c r="M5" s="14">
        <f t="shared" si="0"/>
        <v>0.98260213597613411</v>
      </c>
    </row>
    <row r="6" spans="1:13">
      <c r="A6">
        <v>2</v>
      </c>
      <c r="B6" s="4">
        <v>45485</v>
      </c>
      <c r="C6" s="14">
        <v>0.97878176388692029</v>
      </c>
      <c r="D6" s="14">
        <v>0.97444692296927427</v>
      </c>
      <c r="E6" s="14">
        <v>1.6544714899334002E-2</v>
      </c>
      <c r="F6" s="14">
        <v>0.50555555555555554</v>
      </c>
      <c r="G6" s="14">
        <v>1.2987157665703464</v>
      </c>
      <c r="H6" s="14">
        <v>1</v>
      </c>
      <c r="I6" s="14">
        <v>1.9720276851954619</v>
      </c>
      <c r="J6" s="14">
        <f t="shared" si="1"/>
        <v>2.5636359907540013E-2</v>
      </c>
      <c r="K6" s="14">
        <f>K7*(1+E7*F7)</f>
        <v>0.97447656247517556</v>
      </c>
      <c r="L6" s="14"/>
      <c r="M6" s="14">
        <f>K6</f>
        <v>0.97447656247517556</v>
      </c>
    </row>
    <row r="7" spans="1:13">
      <c r="A7">
        <v>2.5</v>
      </c>
      <c r="B7" s="4">
        <v>45670</v>
      </c>
      <c r="C7" s="14">
        <v>0.9715063307647499</v>
      </c>
      <c r="D7" s="14">
        <v>0.96605078949251333</v>
      </c>
      <c r="E7" s="14">
        <v>1.69125910132602E-2</v>
      </c>
      <c r="F7" s="14">
        <v>0.51388888888888884</v>
      </c>
      <c r="G7" s="14">
        <v>0</v>
      </c>
      <c r="H7" s="14"/>
      <c r="I7" s="14"/>
      <c r="J7" s="14">
        <f t="shared" si="1"/>
        <v>3.4079908544257236E-2</v>
      </c>
      <c r="K7" s="14">
        <f>(K8*(G8/100*I8-J7+C8)/C8)</f>
        <v>0.9660801736153436</v>
      </c>
      <c r="L7" s="14"/>
      <c r="M7" s="14"/>
    </row>
    <row r="8" spans="1:13">
      <c r="A8">
        <v>3</v>
      </c>
      <c r="B8" s="4">
        <v>45852</v>
      </c>
      <c r="C8" s="14">
        <v>0.96404622206233692</v>
      </c>
      <c r="D8" s="14">
        <v>0.95729638500968794</v>
      </c>
      <c r="E8" s="14">
        <v>1.8088864371244101E-2</v>
      </c>
      <c r="F8" s="14">
        <v>0.50555555555555554</v>
      </c>
      <c r="G8" s="14">
        <v>1.4585457063324716</v>
      </c>
      <c r="H8" s="14">
        <v>1.005555555555556</v>
      </c>
      <c r="I8" s="14">
        <v>2.9414297196025889</v>
      </c>
      <c r="J8" s="14">
        <f t="shared" si="1"/>
        <v>4.2896039786607928E-2</v>
      </c>
      <c r="K8" s="14">
        <f>K9*(1+E9*F9)</f>
        <v>0.95731954252894325</v>
      </c>
      <c r="L8" s="14"/>
      <c r="M8" s="14">
        <f t="shared" ref="M8" si="2">K8</f>
        <v>0.95731954252894325</v>
      </c>
    </row>
    <row r="9" spans="1:13">
      <c r="A9">
        <v>3.5</v>
      </c>
      <c r="B9" s="4">
        <v>46034</v>
      </c>
      <c r="C9" s="14">
        <v>0.95592389246503651</v>
      </c>
      <c r="D9" s="14">
        <v>0.94796491452005915</v>
      </c>
      <c r="E9" s="14">
        <v>1.9479741902559099E-2</v>
      </c>
      <c r="F9" s="14">
        <v>0.50555555555555554</v>
      </c>
      <c r="G9" s="14">
        <v>0</v>
      </c>
      <c r="H9" s="14"/>
      <c r="I9" s="14"/>
      <c r="J9" s="14">
        <f t="shared" si="1"/>
        <v>5.2310065975705033E-2</v>
      </c>
      <c r="K9" s="14">
        <f>(K10*(G10/100*I10-J9+C10)/C10)</f>
        <v>0.94798371196583153</v>
      </c>
      <c r="L9" s="14"/>
      <c r="M9" s="14"/>
    </row>
    <row r="10" spans="1:13">
      <c r="A10">
        <v>4</v>
      </c>
      <c r="B10" s="4">
        <v>46216</v>
      </c>
      <c r="C10" s="14">
        <v>0.94713494159022615</v>
      </c>
      <c r="D10" s="14">
        <v>0.93807952562658103</v>
      </c>
      <c r="E10" s="14">
        <v>2.0844199194661701E-2</v>
      </c>
      <c r="F10" s="14">
        <v>0.50555555555555554</v>
      </c>
      <c r="G10" s="14">
        <v>1.6000272880762458</v>
      </c>
      <c r="H10" s="14">
        <v>0.99722222222222223</v>
      </c>
      <c r="I10" s="14">
        <v>3.885933730799509</v>
      </c>
      <c r="J10" s="14">
        <f t="shared" si="1"/>
        <v>6.2290879943441235E-2</v>
      </c>
      <c r="K10" s="14">
        <f>K11*(1+E11*F11)</f>
        <v>0.93821073779150188</v>
      </c>
      <c r="L10" s="14"/>
      <c r="M10" s="14">
        <f t="shared" ref="M10" si="3">K10</f>
        <v>0.93821073779150188</v>
      </c>
    </row>
    <row r="11" spans="1:13">
      <c r="A11">
        <v>4.5</v>
      </c>
      <c r="B11" s="4">
        <v>46399</v>
      </c>
      <c r="C11" s="14">
        <v>0.9377546742182391</v>
      </c>
      <c r="D11" s="14">
        <v>0.92766793341618325</v>
      </c>
      <c r="E11" s="14">
        <v>2.2082122249332401E-2</v>
      </c>
      <c r="F11" s="14">
        <v>0.5083333333333333</v>
      </c>
      <c r="G11" s="14">
        <v>0</v>
      </c>
      <c r="H11" s="14"/>
      <c r="I11" s="14"/>
      <c r="J11" s="14">
        <f t="shared" si="1"/>
        <v>7.2817250066059339E-2</v>
      </c>
      <c r="K11" s="14">
        <f>(K12*(G12/100*I12-J11+C12)/C12)</f>
        <v>0.92779615285600658</v>
      </c>
      <c r="L11" s="14"/>
      <c r="M11" s="14"/>
    </row>
    <row r="12" spans="1:13">
      <c r="A12">
        <v>5</v>
      </c>
      <c r="B12" s="4">
        <v>46580</v>
      </c>
      <c r="C12" s="14">
        <v>0.92824283734542401</v>
      </c>
      <c r="D12" s="14">
        <v>0.91712844122432902</v>
      </c>
      <c r="E12" s="14">
        <v>2.2856695926326401E-2</v>
      </c>
      <c r="F12" s="14">
        <v>0.50277777777777777</v>
      </c>
      <c r="G12" s="14">
        <v>1.7291325498049908</v>
      </c>
      <c r="H12" s="14">
        <v>0.99722222222222223</v>
      </c>
      <c r="I12" s="14">
        <v>4.811598115818974</v>
      </c>
      <c r="J12" s="14">
        <f t="shared" si="1"/>
        <v>8.3484467106331728E-2</v>
      </c>
      <c r="K12" s="14">
        <f>K13*(1+E13*F13)</f>
        <v>0.91753426066332511</v>
      </c>
      <c r="L12" s="14"/>
      <c r="M12" s="14">
        <f t="shared" ref="M12" si="4">K12</f>
        <v>0.91753426066332511</v>
      </c>
    </row>
    <row r="13" spans="1:13">
      <c r="A13">
        <v>5.5</v>
      </c>
      <c r="B13" s="4">
        <v>46764</v>
      </c>
      <c r="C13" s="14">
        <v>0.9185963965955859</v>
      </c>
      <c r="D13" s="14">
        <v>0.90637502877283138</v>
      </c>
      <c r="E13" s="14">
        <v>2.3212560544255901E-2</v>
      </c>
      <c r="F13" s="14">
        <v>0.51111111111111107</v>
      </c>
      <c r="G13" s="14">
        <v>0</v>
      </c>
      <c r="H13" s="14"/>
      <c r="I13" s="14"/>
      <c r="J13" s="14">
        <f t="shared" si="1"/>
        <v>9.438287628076146E-2</v>
      </c>
      <c r="K13" s="14">
        <f>(K14*(G14/100*I14-J13+C14)/C14)</f>
        <v>0.90677608994285208</v>
      </c>
      <c r="L13" s="14"/>
      <c r="M13" s="14"/>
    </row>
    <row r="14" spans="1:13">
      <c r="A14">
        <v>6</v>
      </c>
      <c r="B14" s="4">
        <v>46946</v>
      </c>
      <c r="C14" s="14">
        <v>0.90901718303320767</v>
      </c>
      <c r="D14" s="14">
        <v>0.89571111788568369</v>
      </c>
      <c r="E14" s="14">
        <v>2.3549389624901301E-2</v>
      </c>
      <c r="F14" s="14">
        <v>0.50555555555555554</v>
      </c>
      <c r="G14" s="14">
        <v>1.830999724001301</v>
      </c>
      <c r="H14" s="14">
        <v>1</v>
      </c>
      <c r="I14" s="14">
        <v>5.7206152988521817</v>
      </c>
      <c r="J14" s="14">
        <f t="shared" si="1"/>
        <v>0.10520520285591206</v>
      </c>
      <c r="K14" s="14">
        <f>K15*(1+E15*F15)</f>
        <v>0.89655655035432513</v>
      </c>
      <c r="L14" s="14"/>
      <c r="M14" s="14">
        <f t="shared" ref="M14" si="5">K14</f>
        <v>0.89655655035432513</v>
      </c>
    </row>
    <row r="15" spans="1:13">
      <c r="A15">
        <v>6.5</v>
      </c>
      <c r="B15" s="4">
        <v>47130</v>
      </c>
      <c r="C15" s="14">
        <v>0.89917826917514665</v>
      </c>
      <c r="D15" s="14">
        <v>0.88485868785708344</v>
      </c>
      <c r="E15" s="14">
        <v>2.39959391987998E-2</v>
      </c>
      <c r="F15" s="14">
        <v>0.51111111111111107</v>
      </c>
      <c r="G15" s="14">
        <v>0</v>
      </c>
      <c r="H15" s="14"/>
      <c r="I15" s="14"/>
      <c r="J15" s="14">
        <f t="shared" si="1"/>
        <v>0.11623325669476103</v>
      </c>
      <c r="K15" s="14">
        <f>(K16*(G16/100*I16-J15+C16)/C16)</f>
        <v>0.88569387707148062</v>
      </c>
      <c r="L15" s="14"/>
      <c r="M15" s="14"/>
    </row>
    <row r="16" spans="1:13">
      <c r="A16">
        <v>7</v>
      </c>
      <c r="B16" s="4">
        <v>47311</v>
      </c>
      <c r="C16" s="14">
        <v>0.8893123052047649</v>
      </c>
      <c r="D16" s="14">
        <v>0.8740370041426615</v>
      </c>
      <c r="E16" s="14">
        <v>2.4625720319847801E-2</v>
      </c>
      <c r="F16" s="14">
        <v>0.50277777777777777</v>
      </c>
      <c r="G16" s="14">
        <v>1.914650844415493</v>
      </c>
      <c r="H16" s="14">
        <v>1</v>
      </c>
      <c r="I16" s="14">
        <v>6.6099276040569466</v>
      </c>
      <c r="J16" s="14">
        <f t="shared" si="1"/>
        <v>0.12724406795864956</v>
      </c>
      <c r="K16" s="14">
        <f>K17*(1+E17*F17)</f>
        <v>0.87553009293013062</v>
      </c>
      <c r="L16" s="14"/>
      <c r="M16" s="14">
        <f t="shared" ref="M16" si="6">K16</f>
        <v>0.87553009293013062</v>
      </c>
    </row>
    <row r="17" spans="1:13">
      <c r="A17">
        <v>7.5</v>
      </c>
      <c r="B17" s="4">
        <v>47497</v>
      </c>
      <c r="C17" s="14">
        <v>0.87897161571716564</v>
      </c>
      <c r="D17" s="14">
        <v>0.86271292715050496</v>
      </c>
      <c r="E17" s="14">
        <v>2.5405401590895899E-2</v>
      </c>
      <c r="F17" s="14">
        <v>0.51666666666666672</v>
      </c>
      <c r="G17" s="14">
        <v>0</v>
      </c>
      <c r="H17" s="14"/>
      <c r="I17" s="14"/>
      <c r="J17" s="14">
        <f t="shared" si="1"/>
        <v>0.13878155851553439</v>
      </c>
      <c r="K17" s="14">
        <f>(K18*(G18/100*I18-J17+C18)/C18)</f>
        <v>0.86418667138813776</v>
      </c>
      <c r="L17" s="14"/>
      <c r="M17" s="14"/>
    </row>
    <row r="18" spans="1:13">
      <c r="A18">
        <v>8</v>
      </c>
      <c r="B18" s="4">
        <v>47676</v>
      </c>
      <c r="C18" s="14">
        <v>0.86884980767765363</v>
      </c>
      <c r="D18" s="14">
        <v>0.85168947472002765</v>
      </c>
      <c r="E18" s="14">
        <v>2.6037552195365E-2</v>
      </c>
      <c r="F18" s="14">
        <v>0.49722222222222218</v>
      </c>
      <c r="G18" s="14">
        <v>1.9929907243853566</v>
      </c>
      <c r="H18" s="14">
        <v>1</v>
      </c>
      <c r="I18" s="14">
        <v>7.4787774117346002</v>
      </c>
      <c r="J18" s="14">
        <f t="shared" si="1"/>
        <v>0.15003007872915611</v>
      </c>
      <c r="K18" s="14">
        <f>K19*(1+E19*F19)</f>
        <v>0.85409133454987063</v>
      </c>
      <c r="L18" s="14"/>
      <c r="M18" s="14">
        <f t="shared" ref="M18" si="7">K18</f>
        <v>0.85409133454987063</v>
      </c>
    </row>
    <row r="19" spans="1:13">
      <c r="A19">
        <v>8.5</v>
      </c>
      <c r="B19" s="4">
        <v>47861</v>
      </c>
      <c r="C19" s="14">
        <v>0.85822803261302394</v>
      </c>
      <c r="D19" s="14">
        <v>0.84022535250532049</v>
      </c>
      <c r="E19" s="14">
        <v>2.6550689146691599E-2</v>
      </c>
      <c r="F19" s="14">
        <v>0.51388888888888884</v>
      </c>
      <c r="G19" s="14">
        <v>0</v>
      </c>
      <c r="H19" s="14"/>
      <c r="I19" s="14"/>
      <c r="J19" s="14">
        <f t="shared" si="1"/>
        <v>0.16173983138613873</v>
      </c>
      <c r="K19" s="14">
        <f>(K20*(G20/100*I20-J19+C20)/C20)</f>
        <v>0.84259488222489543</v>
      </c>
      <c r="L19" s="14"/>
      <c r="M19" s="14"/>
    </row>
    <row r="20" spans="1:13">
      <c r="A20">
        <v>9</v>
      </c>
      <c r="B20" s="4">
        <v>48043</v>
      </c>
      <c r="C20" s="14">
        <v>0.84757139217307043</v>
      </c>
      <c r="D20" s="14">
        <v>0.82878111312407454</v>
      </c>
      <c r="E20" s="14">
        <v>2.73135531920118E-2</v>
      </c>
      <c r="F20" s="14">
        <v>0.50555555555555554</v>
      </c>
      <c r="G20" s="14">
        <v>2.0669953132467613</v>
      </c>
      <c r="H20" s="14">
        <v>1.005555555555556</v>
      </c>
      <c r="I20" s="14">
        <v>8.3310575338641879</v>
      </c>
      <c r="J20" s="14">
        <f t="shared" si="1"/>
        <v>0.1734435366843462</v>
      </c>
      <c r="K20" s="14">
        <f>K21*(1+E21*F21)</f>
        <v>0.83232040867066581</v>
      </c>
      <c r="L20" s="14"/>
      <c r="M20" s="14">
        <f t="shared" ref="M20" si="8">K20</f>
        <v>0.83232040867066581</v>
      </c>
    </row>
    <row r="21" spans="1:13">
      <c r="A21">
        <v>9.5</v>
      </c>
      <c r="B21" s="4">
        <v>48225</v>
      </c>
      <c r="C21" s="14">
        <v>0.83669069416023167</v>
      </c>
      <c r="D21" s="14">
        <v>0.81711882271219038</v>
      </c>
      <c r="E21" s="14">
        <v>2.8236771671545199E-2</v>
      </c>
      <c r="F21" s="14">
        <v>0.50555555555555554</v>
      </c>
      <c r="G21" s="14">
        <v>0</v>
      </c>
      <c r="H21" s="14"/>
      <c r="I21" s="14"/>
      <c r="J21" s="14">
        <f t="shared" si="1"/>
        <v>0.18538751119687136</v>
      </c>
      <c r="K21" s="14">
        <f>(K22*(G22/100*I22-J21+C22)/C22)</f>
        <v>0.82060604663197512</v>
      </c>
      <c r="L21" s="14"/>
      <c r="M21" s="14"/>
    </row>
    <row r="22" spans="1:13">
      <c r="A22">
        <v>10</v>
      </c>
      <c r="B22" s="4">
        <v>48407</v>
      </c>
      <c r="C22" s="14">
        <v>0.8257303052243582</v>
      </c>
      <c r="D22" s="14">
        <v>0.80547248666946025</v>
      </c>
      <c r="E22" s="14">
        <v>2.8600242760871801E-2</v>
      </c>
      <c r="F22" s="14">
        <v>0.50555555555555554</v>
      </c>
      <c r="G22" s="14">
        <v>2.1366725796918473</v>
      </c>
      <c r="H22" s="14">
        <v>0.99444444444444446</v>
      </c>
      <c r="I22" s="14">
        <v>9.152200448503967</v>
      </c>
      <c r="J22" s="14">
        <f t="shared" si="1"/>
        <v>0.19732675527344198</v>
      </c>
      <c r="K22" s="14">
        <f>K23*(1+E23*F23)</f>
        <v>0.81062692857388308</v>
      </c>
      <c r="L22" s="14"/>
      <c r="M22" s="14">
        <f t="shared" ref="M22" si="9">K22</f>
        <v>0.81062692857388308</v>
      </c>
    </row>
    <row r="23" spans="1:13">
      <c r="A23">
        <v>10.5</v>
      </c>
      <c r="B23" s="4">
        <v>48591</v>
      </c>
      <c r="C23" s="14">
        <v>0.8146912703004634</v>
      </c>
      <c r="D23" s="14">
        <v>0.79392771566848708</v>
      </c>
      <c r="E23" s="14">
        <v>2.8450443271989499E-2</v>
      </c>
      <c r="F23" s="14">
        <v>0.51111111111111107</v>
      </c>
      <c r="G23" s="14">
        <v>0</v>
      </c>
      <c r="H23" s="14"/>
      <c r="I23" s="14"/>
      <c r="J23" s="14">
        <f t="shared" si="1"/>
        <v>0.20917345613359695</v>
      </c>
      <c r="K23" s="14">
        <f>(K24*(G24/100*I24-J23+C24)/C24)</f>
        <v>0.79900827938040897</v>
      </c>
      <c r="L23" s="14"/>
      <c r="M23" s="14"/>
    </row>
    <row r="24" spans="1:13">
      <c r="A24">
        <v>11</v>
      </c>
      <c r="B24" s="4">
        <v>48772</v>
      </c>
      <c r="C24" s="14">
        <v>0.8037668893231964</v>
      </c>
      <c r="D24" s="14">
        <v>0.78267545028228147</v>
      </c>
      <c r="E24" s="14">
        <v>2.8594478516200401E-2</v>
      </c>
      <c r="F24" s="14">
        <v>0.50277777777777777</v>
      </c>
      <c r="G24" s="14">
        <v>2.1941546443897666</v>
      </c>
      <c r="H24" s="14">
        <v>1</v>
      </c>
      <c r="I24" s="14">
        <v>9.9559673378271629</v>
      </c>
      <c r="J24" s="14">
        <f t="shared" si="1"/>
        <v>0.22072894614423624</v>
      </c>
      <c r="K24" s="14">
        <f>K25*(1+E25*F25)</f>
        <v>0.78989253264908887</v>
      </c>
      <c r="L24" s="14"/>
      <c r="M24" s="14">
        <f t="shared" ref="M24" si="10">K24</f>
        <v>0.78989253264908887</v>
      </c>
    </row>
    <row r="25" spans="1:13">
      <c r="A25">
        <v>11.5</v>
      </c>
      <c r="B25" s="4">
        <v>48956</v>
      </c>
      <c r="C25" s="14">
        <v>0.79251290448087985</v>
      </c>
      <c r="D25" s="14">
        <v>0.77121663179798594</v>
      </c>
      <c r="E25" s="14">
        <v>2.90702074422408E-2</v>
      </c>
      <c r="F25" s="14">
        <v>0.51111111111111107</v>
      </c>
      <c r="G25" s="14">
        <v>0</v>
      </c>
      <c r="H25" s="14"/>
      <c r="I25" s="14"/>
      <c r="J25" s="14">
        <f t="shared" si="1"/>
        <v>0.23250418690601346</v>
      </c>
      <c r="K25" s="14">
        <f>(K26*(G26/100*I26-J25+C26)/C26)</f>
        <v>0.77832805193046928</v>
      </c>
      <c r="L25" s="14"/>
      <c r="M25" s="14"/>
    </row>
    <row r="26" spans="1:13">
      <c r="A26">
        <v>12</v>
      </c>
      <c r="B26" s="4">
        <v>49137</v>
      </c>
      <c r="C26" s="14">
        <v>0.78150798192835358</v>
      </c>
      <c r="D26" s="14">
        <v>0.76007457235941267</v>
      </c>
      <c r="E26" s="14">
        <v>2.9156352552981098E-2</v>
      </c>
      <c r="F26" s="14">
        <v>0.50277777777777777</v>
      </c>
      <c r="G26" s="14">
        <v>2.245387578359606</v>
      </c>
      <c r="H26" s="14">
        <v>1</v>
      </c>
      <c r="I26" s="14">
        <v>10.73747531975552</v>
      </c>
      <c r="J26" s="14">
        <f t="shared" si="1"/>
        <v>0.24396044225650515</v>
      </c>
      <c r="K26" s="14">
        <f>K27*(1+E27*F27)</f>
        <v>0.76986236131883157</v>
      </c>
      <c r="L26" s="14"/>
      <c r="M26" s="14">
        <f t="shared" ref="M26" si="11">K26</f>
        <v>0.76986236131883157</v>
      </c>
    </row>
    <row r="27" spans="1:13">
      <c r="A27">
        <v>12.5</v>
      </c>
      <c r="B27" s="4">
        <v>49321</v>
      </c>
      <c r="C27" s="14">
        <v>0.77061478256932514</v>
      </c>
      <c r="D27" s="14">
        <v>0.74906175653772222</v>
      </c>
      <c r="E27" s="14">
        <v>2.8765069603566101E-2</v>
      </c>
      <c r="F27" s="14">
        <v>0.51111111111111107</v>
      </c>
      <c r="G27" s="14">
        <v>0</v>
      </c>
      <c r="H27" s="14"/>
      <c r="I27" s="14"/>
      <c r="J27" s="14">
        <f t="shared" si="1"/>
        <v>0.25529013382844523</v>
      </c>
      <c r="K27" s="14">
        <f>(K28*(G28/100*I28-J27+C28)/C28)</f>
        <v>0.75870772899514038</v>
      </c>
      <c r="L27" s="14"/>
      <c r="M27" s="14"/>
    </row>
    <row r="28" spans="1:13">
      <c r="A28">
        <v>13</v>
      </c>
      <c r="B28" s="4">
        <v>49502</v>
      </c>
      <c r="C28" s="14">
        <v>0.76021383187024028</v>
      </c>
      <c r="D28" s="14">
        <v>0.73859675986976769</v>
      </c>
      <c r="E28" s="14">
        <v>2.81809495309472E-2</v>
      </c>
      <c r="F28" s="14">
        <v>0.50277777777777777</v>
      </c>
      <c r="G28" s="14">
        <v>2.2835888628924939</v>
      </c>
      <c r="H28" s="14">
        <v>1</v>
      </c>
      <c r="I28" s="14">
        <v>11.49768915162576</v>
      </c>
      <c r="J28" s="14">
        <f t="shared" si="1"/>
        <v>0.26606141749730089</v>
      </c>
      <c r="K28" s="14">
        <f>K29*(1+E29*F29)</f>
        <v>0.75152104176393797</v>
      </c>
      <c r="L28" s="14"/>
      <c r="M28" s="14">
        <f t="shared" ref="M28" si="12">K28</f>
        <v>0.75152104176393797</v>
      </c>
    </row>
    <row r="29" spans="1:13">
      <c r="A29">
        <v>13.5</v>
      </c>
      <c r="B29" s="4">
        <v>49688</v>
      </c>
      <c r="C29" s="14">
        <v>0.7498602714689413</v>
      </c>
      <c r="D29" s="14">
        <v>0.72826345785213376</v>
      </c>
      <c r="E29" s="14">
        <v>2.7462505736529301E-2</v>
      </c>
      <c r="F29" s="14">
        <v>0.51666666666666672</v>
      </c>
      <c r="G29" s="14">
        <v>0</v>
      </c>
      <c r="H29" s="14"/>
      <c r="I29" s="14"/>
      <c r="J29" s="14">
        <f t="shared" si="1"/>
        <v>0.27670115586748667</v>
      </c>
      <c r="K29" s="14">
        <f>(K30*(G30/100*I30-J29+C30)/C30)</f>
        <v>0.7410069232095553</v>
      </c>
      <c r="L29" s="14"/>
      <c r="M29" s="14"/>
    </row>
    <row r="30" spans="1:13">
      <c r="A30">
        <v>14</v>
      </c>
      <c r="B30" s="4">
        <v>49870</v>
      </c>
      <c r="C30" s="14">
        <v>0.74018567472833596</v>
      </c>
      <c r="D30" s="14">
        <v>0.71863740591193315</v>
      </c>
      <c r="E30" s="14">
        <v>2.6495339851027901E-2</v>
      </c>
      <c r="F30" s="14">
        <v>0.50555555555555554</v>
      </c>
      <c r="G30" s="14">
        <v>2.3079021474452301</v>
      </c>
      <c r="H30" s="14">
        <v>1.005555555555556</v>
      </c>
      <c r="I30" s="14">
        <v>12.241986968991471</v>
      </c>
      <c r="J30" s="14">
        <f t="shared" si="1"/>
        <v>0.28661584398657475</v>
      </c>
      <c r="K30" s="14">
        <f>K31*(1+E31*F31)</f>
        <v>0.73521416942903395</v>
      </c>
      <c r="L30" s="14"/>
      <c r="M30" s="14">
        <f t="shared" ref="M30" si="13">K30</f>
        <v>0.73521416942903395</v>
      </c>
    </row>
    <row r="31" spans="1:13">
      <c r="A31">
        <v>14.5</v>
      </c>
      <c r="B31" s="4">
        <v>50052</v>
      </c>
      <c r="C31" s="14">
        <v>0.73104788279616695</v>
      </c>
      <c r="D31" s="14">
        <v>0.7095309602972194</v>
      </c>
      <c r="E31" s="14">
        <v>2.5383289016291E-2</v>
      </c>
      <c r="F31" s="14">
        <v>0.50555555555555554</v>
      </c>
      <c r="G31" s="14">
        <v>0</v>
      </c>
      <c r="H31" s="14"/>
      <c r="I31" s="14"/>
      <c r="J31" s="14">
        <f t="shared" si="1"/>
        <v>0.29599713494286589</v>
      </c>
      <c r="K31" s="14">
        <f>(K32*(G32/100*I32-J31+C32)/C32)</f>
        <v>0.72589895295309914</v>
      </c>
      <c r="L31" s="14"/>
      <c r="M31" s="14"/>
    </row>
    <row r="32" spans="1:13">
      <c r="A32">
        <v>15</v>
      </c>
      <c r="B32" s="4">
        <v>50234</v>
      </c>
      <c r="C32" s="14">
        <v>0.72227737271592507</v>
      </c>
      <c r="D32" s="14">
        <v>0.700838160456415</v>
      </c>
      <c r="E32" s="14">
        <v>2.4534264978464001E-2</v>
      </c>
      <c r="F32" s="14">
        <v>0.50555555555555554</v>
      </c>
      <c r="G32" s="14">
        <v>2.3156016012065361</v>
      </c>
      <c r="H32" s="14">
        <v>0.99722222222222223</v>
      </c>
      <c r="I32" s="14">
        <v>12.962258015672081</v>
      </c>
      <c r="J32" s="14">
        <f t="shared" si="1"/>
        <v>0.30495585463711411</v>
      </c>
      <c r="K32" s="14">
        <f>K33*(1+E33*F33)</f>
        <v>0.72174489842650169</v>
      </c>
      <c r="L32" s="14"/>
      <c r="M32" s="14">
        <f t="shared" ref="M32" si="14">K32</f>
        <v>0.72174489842650169</v>
      </c>
    </row>
    <row r="33" spans="1:13">
      <c r="A33">
        <v>15.5</v>
      </c>
      <c r="B33" s="4">
        <v>50417</v>
      </c>
      <c r="C33" s="14">
        <v>0.71366212197997081</v>
      </c>
      <c r="D33" s="14">
        <v>0.69241736243795082</v>
      </c>
      <c r="E33" s="14">
        <v>2.3922987110430501E-2</v>
      </c>
      <c r="F33" s="14">
        <v>0.5083333333333333</v>
      </c>
      <c r="G33" s="14">
        <v>0</v>
      </c>
      <c r="H33" s="14"/>
      <c r="I33" s="14"/>
      <c r="J33" s="14">
        <f t="shared" si="1"/>
        <v>0.31363459392432319</v>
      </c>
      <c r="K33" s="14">
        <f>(K34*(G34/100*I34-J33+C34)/C34)</f>
        <v>0.71307331947923236</v>
      </c>
      <c r="L33" s="14"/>
      <c r="M33" s="14"/>
    </row>
    <row r="34" spans="1:13">
      <c r="A34">
        <v>16</v>
      </c>
      <c r="B34" s="4">
        <v>50598</v>
      </c>
      <c r="C34" s="14">
        <v>0.70541109112485312</v>
      </c>
      <c r="D34" s="14">
        <v>0.68446812486706743</v>
      </c>
      <c r="E34" s="14">
        <v>2.3099159315272899E-2</v>
      </c>
      <c r="F34" s="14">
        <v>0.50277777777777777</v>
      </c>
      <c r="G34" s="14">
        <v>2.3145127801278402</v>
      </c>
      <c r="H34" s="14">
        <v>0.99722222222222223</v>
      </c>
      <c r="I34" s="14">
        <v>13.6657096315438</v>
      </c>
      <c r="J34" s="14">
        <f t="shared" si="1"/>
        <v>0.32182705774369619</v>
      </c>
      <c r="K34" s="14">
        <f>K35*(1+E35*F35)</f>
        <v>0.71039452568387995</v>
      </c>
      <c r="L34" s="14"/>
      <c r="M34" s="14">
        <f t="shared" ref="M34" si="15">K34</f>
        <v>0.71039452568387995</v>
      </c>
    </row>
    <row r="35" spans="1:13">
      <c r="A35">
        <v>16.5</v>
      </c>
      <c r="B35" s="4">
        <v>50782</v>
      </c>
      <c r="C35" s="14">
        <v>0.69740868440821069</v>
      </c>
      <c r="D35" s="14">
        <v>0.67685350673892697</v>
      </c>
      <c r="E35" s="14">
        <v>2.2010916327615201E-2</v>
      </c>
      <c r="F35" s="14">
        <v>0.51111111111111107</v>
      </c>
      <c r="G35" s="14">
        <v>0</v>
      </c>
      <c r="H35" s="14"/>
      <c r="I35" s="14"/>
      <c r="J35" s="14">
        <f t="shared" si="1"/>
        <v>0.32967292211190086</v>
      </c>
      <c r="K35" s="14">
        <f>(K36*(G36/100*I36-J35+C36)/C36)</f>
        <v>0.70249147974663517</v>
      </c>
      <c r="L35" s="14"/>
      <c r="M35" s="14"/>
    </row>
    <row r="36" spans="1:13">
      <c r="A36">
        <v>17</v>
      </c>
      <c r="B36" s="4">
        <v>50963</v>
      </c>
      <c r="C36" s="14">
        <v>0.68996315335641056</v>
      </c>
      <c r="D36" s="14">
        <v>0.66981104102760358</v>
      </c>
      <c r="E36" s="14">
        <v>2.0912038267508801E-2</v>
      </c>
      <c r="F36" s="14">
        <v>0.50277777777777777</v>
      </c>
      <c r="G36" s="14">
        <v>2.3037492320379074</v>
      </c>
      <c r="H36" s="14">
        <v>1</v>
      </c>
      <c r="I36" s="14">
        <v>14.355672784900211</v>
      </c>
      <c r="J36" s="14">
        <f t="shared" ref="J36:J67" si="16">J35+(E36*F36*C36)</f>
        <v>0.33692726931127592</v>
      </c>
      <c r="K36" s="14">
        <f>K37*(1+E37*F37)</f>
        <v>0.70142832252784604</v>
      </c>
      <c r="L36" s="14"/>
      <c r="M36" s="14">
        <f t="shared" ref="M36" si="17">K36</f>
        <v>0.70142832252784604</v>
      </c>
    </row>
    <row r="37" spans="1:13">
      <c r="A37">
        <v>17.5</v>
      </c>
      <c r="B37" s="4">
        <v>51147</v>
      </c>
      <c r="C37" s="14">
        <v>0.68282994441576605</v>
      </c>
      <c r="D37" s="14">
        <v>0.66306691465186141</v>
      </c>
      <c r="E37" s="14">
        <v>1.9899997381878601E-2</v>
      </c>
      <c r="F37" s="14">
        <v>0.51111111111111107</v>
      </c>
      <c r="G37" s="14">
        <v>0</v>
      </c>
      <c r="H37" s="14"/>
      <c r="I37" s="14"/>
      <c r="J37" s="14">
        <f t="shared" si="16"/>
        <v>0.34387240763219296</v>
      </c>
      <c r="K37" s="14">
        <f>(K38*(G38/100*I38-J37+C38)/C38)</f>
        <v>0.69436585123236672</v>
      </c>
      <c r="L37" s="14"/>
      <c r="M37" s="14"/>
    </row>
    <row r="38" spans="1:13">
      <c r="A38">
        <v>18</v>
      </c>
      <c r="B38" s="4">
        <v>51329</v>
      </c>
      <c r="C38" s="14">
        <v>0.67609185802575111</v>
      </c>
      <c r="D38" s="14">
        <v>0.65673579124496839</v>
      </c>
      <c r="E38" s="14">
        <v>1.90687052713602E-2</v>
      </c>
      <c r="F38" s="14">
        <v>0.50555555555555554</v>
      </c>
      <c r="G38" s="14">
        <v>2.2853558351925582</v>
      </c>
      <c r="H38" s="14">
        <v>1</v>
      </c>
      <c r="I38" s="14">
        <v>15.031764642925969</v>
      </c>
      <c r="J38" s="14">
        <f t="shared" si="16"/>
        <v>0.35039012913392853</v>
      </c>
      <c r="K38" s="14">
        <f>K39*(1+E39*F39)</f>
        <v>0.69471840090147829</v>
      </c>
      <c r="L38" s="14"/>
      <c r="M38" s="14">
        <f t="shared" ref="M38" si="18">K38</f>
        <v>0.69471840090147829</v>
      </c>
    </row>
    <row r="39" spans="1:13">
      <c r="A39">
        <v>18.5</v>
      </c>
      <c r="B39" s="4">
        <v>51515</v>
      </c>
      <c r="C39" s="14">
        <v>0.66942332733091914</v>
      </c>
      <c r="D39" s="14">
        <v>0.65055591075883357</v>
      </c>
      <c r="E39" s="14">
        <v>1.8385904743329899E-2</v>
      </c>
      <c r="F39" s="14">
        <v>0.51666666666666672</v>
      </c>
      <c r="G39" s="14">
        <v>0</v>
      </c>
      <c r="H39" s="14"/>
      <c r="I39" s="14"/>
      <c r="J39" s="14">
        <f t="shared" si="16"/>
        <v>0.35674923845738432</v>
      </c>
      <c r="K39" s="14">
        <f>(K40*(G40/100*I40-J39+C40)/C40)</f>
        <v>0.68818110424988099</v>
      </c>
      <c r="L39" s="14"/>
      <c r="M39" s="14"/>
    </row>
    <row r="40" spans="1:13">
      <c r="A40">
        <v>19</v>
      </c>
      <c r="B40" s="4">
        <v>51694</v>
      </c>
      <c r="C40" s="14">
        <v>0.66324213984716596</v>
      </c>
      <c r="D40" s="14">
        <v>0.6449111569909729</v>
      </c>
      <c r="E40" s="14">
        <v>1.75973078822565E-2</v>
      </c>
      <c r="F40" s="14">
        <v>0.49722222222222218</v>
      </c>
      <c r="G40" s="14">
        <v>2.2622312654008789</v>
      </c>
      <c r="H40" s="14">
        <v>1</v>
      </c>
      <c r="I40" s="14">
        <v>15.695006782773129</v>
      </c>
      <c r="J40" s="14">
        <f t="shared" si="16"/>
        <v>0.36255245631358574</v>
      </c>
      <c r="K40" s="14">
        <f>K41*(1+E41*F41)</f>
        <v>0.68994109948417459</v>
      </c>
      <c r="L40" s="14"/>
      <c r="M40" s="14">
        <f t="shared" ref="M40" si="19">K40</f>
        <v>0.68994109948417459</v>
      </c>
    </row>
    <row r="41" spans="1:13">
      <c r="A41">
        <v>19.5</v>
      </c>
      <c r="B41" s="4">
        <v>51879</v>
      </c>
      <c r="C41" s="14">
        <v>0.65713526584249904</v>
      </c>
      <c r="D41" s="14">
        <v>0.63940852927721736</v>
      </c>
      <c r="E41" s="14">
        <v>1.6746439250249601E-2</v>
      </c>
      <c r="F41" s="14">
        <v>0.51388888888888884</v>
      </c>
      <c r="G41" s="14">
        <v>0</v>
      </c>
      <c r="H41" s="14"/>
      <c r="I41" s="14"/>
      <c r="J41" s="14">
        <f t="shared" si="16"/>
        <v>0.36820763693746406</v>
      </c>
      <c r="K41" s="14">
        <f>(K42*(G42/100*I42-J41+C42)/C42)</f>
        <v>0.68405425914387985</v>
      </c>
      <c r="L41" s="14"/>
      <c r="M41" s="14"/>
    </row>
    <row r="42" spans="1:13">
      <c r="A42">
        <v>20</v>
      </c>
      <c r="B42" s="4">
        <v>52061</v>
      </c>
      <c r="C42" s="14">
        <v>0.65135462223894658</v>
      </c>
      <c r="D42" s="14">
        <v>0.63424325968494244</v>
      </c>
      <c r="E42" s="14">
        <v>1.6108987553141298E-2</v>
      </c>
      <c r="F42" s="14">
        <v>0.50555555555555554</v>
      </c>
      <c r="G42" s="14">
        <v>2.2353796545962399</v>
      </c>
      <c r="H42" s="14">
        <v>1.005555555555556</v>
      </c>
      <c r="I42" s="14">
        <v>16.34998004180229</v>
      </c>
      <c r="J42" s="14">
        <f t="shared" si="16"/>
        <v>0.37351226126364112</v>
      </c>
      <c r="K42" s="15">
        <f t="shared" ref="K42:K60" si="20">K43*(1+E43*F43)</f>
        <v>0.68692650543726186</v>
      </c>
      <c r="L42" s="15">
        <v>0.68692650543726197</v>
      </c>
      <c r="M42" s="14">
        <f>K42</f>
        <v>0.68692650543726186</v>
      </c>
    </row>
    <row r="43" spans="1:13">
      <c r="A43">
        <v>20.5</v>
      </c>
      <c r="B43" s="4">
        <v>52243</v>
      </c>
      <c r="C43" s="14">
        <v>0.64573914209288952</v>
      </c>
      <c r="D43" s="14">
        <v>0.62923895877524105</v>
      </c>
      <c r="E43" s="14">
        <v>1.57299670783482E-2</v>
      </c>
      <c r="F43" s="14">
        <v>0.50555555555555554</v>
      </c>
      <c r="G43" s="14">
        <v>0</v>
      </c>
      <c r="H43" s="14"/>
      <c r="I43" s="14"/>
      <c r="J43" s="14">
        <f t="shared" si="16"/>
        <v>0.37864741929483725</v>
      </c>
      <c r="K43" s="14">
        <f t="shared" si="20"/>
        <v>0.68150690881074716</v>
      </c>
      <c r="L43" s="14"/>
      <c r="M43" s="14"/>
    </row>
    <row r="44" spans="1:13">
      <c r="A44">
        <v>21</v>
      </c>
      <c r="B44" s="4">
        <v>52425</v>
      </c>
      <c r="C44" s="14">
        <v>0.6402741031535254</v>
      </c>
      <c r="D44" s="14">
        <v>0.62437792638072032</v>
      </c>
      <c r="E44" s="14">
        <v>1.53996938488435E-2</v>
      </c>
      <c r="F44" s="14">
        <v>0.50555555555555554</v>
      </c>
      <c r="G44" s="14">
        <v>0</v>
      </c>
      <c r="H44" s="14"/>
      <c r="I44" s="14"/>
      <c r="J44" s="14">
        <f t="shared" si="16"/>
        <v>0.38363220979639029</v>
      </c>
      <c r="K44" s="14">
        <f t="shared" si="20"/>
        <v>0.67624209309230077</v>
      </c>
      <c r="L44" s="14"/>
      <c r="M44" s="14"/>
    </row>
    <row r="45" spans="1:13">
      <c r="A45">
        <v>21.5</v>
      </c>
      <c r="B45" s="4">
        <v>52608</v>
      </c>
      <c r="C45" s="14">
        <v>0.634927113266328</v>
      </c>
      <c r="D45" s="14">
        <v>0.61963339874338974</v>
      </c>
      <c r="E45" s="14">
        <v>1.5062316009954399E-2</v>
      </c>
      <c r="F45" s="14">
        <v>0.5083333333333333</v>
      </c>
      <c r="G45" s="14">
        <v>0</v>
      </c>
      <c r="H45" s="14"/>
      <c r="I45" s="14"/>
      <c r="J45" s="14">
        <f t="shared" si="16"/>
        <v>0.38849364181490392</v>
      </c>
      <c r="K45" s="14">
        <f t="shared" si="20"/>
        <v>0.67110366886158568</v>
      </c>
      <c r="L45" s="14"/>
      <c r="M45" s="14"/>
    </row>
    <row r="46" spans="1:13">
      <c r="A46">
        <v>22</v>
      </c>
      <c r="B46" s="4">
        <v>52790</v>
      </c>
      <c r="C46" s="14">
        <v>0.62975313698155089</v>
      </c>
      <c r="D46" s="14">
        <v>0.61505604443203954</v>
      </c>
      <c r="E46" s="14">
        <v>1.47207844081999E-2</v>
      </c>
      <c r="F46" s="14">
        <v>0.50555555555555554</v>
      </c>
      <c r="G46" s="14">
        <v>0</v>
      </c>
      <c r="H46" s="14"/>
      <c r="I46" s="14"/>
      <c r="J46" s="14">
        <f t="shared" si="16"/>
        <v>0.39318037445129428</v>
      </c>
      <c r="K46" s="14">
        <f t="shared" si="20"/>
        <v>0.66614609349806231</v>
      </c>
      <c r="L46" s="14"/>
      <c r="M46" s="14"/>
    </row>
    <row r="47" spans="1:13">
      <c r="A47">
        <v>22.5</v>
      </c>
      <c r="B47" s="4">
        <v>52974</v>
      </c>
      <c r="C47" s="14">
        <v>0.6246646569460953</v>
      </c>
      <c r="D47" s="14">
        <v>0.61057042362918235</v>
      </c>
      <c r="E47" s="14">
        <v>1.4373795838521899E-2</v>
      </c>
      <c r="F47" s="14">
        <v>0.51111111111111107</v>
      </c>
      <c r="G47" s="14">
        <v>0</v>
      </c>
      <c r="H47" s="14"/>
      <c r="I47" s="14"/>
      <c r="J47" s="14">
        <f t="shared" si="16"/>
        <v>0.39776954004394138</v>
      </c>
      <c r="K47" s="14">
        <f t="shared" si="20"/>
        <v>0.66128787154936786</v>
      </c>
      <c r="L47" s="14"/>
      <c r="M47" s="14"/>
    </row>
    <row r="48" spans="1:13">
      <c r="A48">
        <v>23</v>
      </c>
      <c r="B48" s="4">
        <v>53155</v>
      </c>
      <c r="C48" s="14">
        <v>0.61979555389178442</v>
      </c>
      <c r="D48" s="14">
        <v>0.60629619276544222</v>
      </c>
      <c r="E48" s="14">
        <v>1.40215834415629E-2</v>
      </c>
      <c r="F48" s="14">
        <v>0.50277777777777777</v>
      </c>
      <c r="G48" s="14">
        <v>0</v>
      </c>
      <c r="H48" s="14"/>
      <c r="I48" s="14"/>
      <c r="J48" s="14">
        <f t="shared" si="16"/>
        <v>0.40213893790139749</v>
      </c>
      <c r="K48" s="14">
        <f t="shared" si="20"/>
        <v>0.65665859878899924</v>
      </c>
      <c r="L48" s="14"/>
      <c r="M48" s="14"/>
    </row>
    <row r="49" spans="1:13">
      <c r="A49">
        <v>23.5</v>
      </c>
      <c r="B49" s="4">
        <v>53339</v>
      </c>
      <c r="C49" s="14">
        <v>0.61498122338346772</v>
      </c>
      <c r="D49" s="14">
        <v>0.60209061125679897</v>
      </c>
      <c r="E49" s="14">
        <v>1.36662347718224E-2</v>
      </c>
      <c r="F49" s="14">
        <v>0.51111111111111107</v>
      </c>
      <c r="G49" s="14">
        <v>0</v>
      </c>
      <c r="H49" s="14"/>
      <c r="I49" s="14"/>
      <c r="J49" s="14">
        <f t="shared" si="16"/>
        <v>0.40643455987734156</v>
      </c>
      <c r="K49" s="14">
        <f t="shared" si="20"/>
        <v>0.65210367778914557</v>
      </c>
      <c r="L49" s="14"/>
      <c r="M49" s="14"/>
    </row>
    <row r="50" spans="1:13">
      <c r="A50">
        <v>24</v>
      </c>
      <c r="B50" s="4">
        <v>53520</v>
      </c>
      <c r="C50" s="14">
        <v>0.61037562509683041</v>
      </c>
      <c r="D50" s="14">
        <v>0.59808983719780817</v>
      </c>
      <c r="E50" s="14">
        <v>1.3304591007762099E-2</v>
      </c>
      <c r="F50" s="14">
        <v>0.50277777777777777</v>
      </c>
      <c r="G50" s="14">
        <v>0</v>
      </c>
      <c r="H50" s="14"/>
      <c r="I50" s="14"/>
      <c r="J50" s="14">
        <f t="shared" si="16"/>
        <v>0.41051751667622127</v>
      </c>
      <c r="K50" s="14">
        <f t="shared" si="20"/>
        <v>0.64777057670918448</v>
      </c>
      <c r="L50" s="14"/>
      <c r="M50" s="14"/>
    </row>
    <row r="51" spans="1:13">
      <c r="A51">
        <v>24.5</v>
      </c>
      <c r="B51" s="4">
        <v>53706</v>
      </c>
      <c r="C51" s="14">
        <v>0.60577431036681406</v>
      </c>
      <c r="D51" s="14">
        <v>0.59411834436985755</v>
      </c>
      <c r="E51" s="14">
        <v>1.29380962311729E-2</v>
      </c>
      <c r="F51" s="14">
        <v>0.51666666666666672</v>
      </c>
      <c r="G51" s="14">
        <v>0</v>
      </c>
      <c r="H51" s="14"/>
      <c r="I51" s="14"/>
      <c r="J51" s="14">
        <f t="shared" si="16"/>
        <v>0.41456692594253536</v>
      </c>
      <c r="K51" s="14">
        <f t="shared" si="20"/>
        <v>0.64346918912565487</v>
      </c>
      <c r="L51" s="14"/>
      <c r="M51" s="14"/>
    </row>
    <row r="52" spans="1:13">
      <c r="A52">
        <v>25</v>
      </c>
      <c r="B52" s="4">
        <v>53885</v>
      </c>
      <c r="C52" s="14">
        <v>0.60146922482722898</v>
      </c>
      <c r="D52" s="14">
        <v>0.59042925412809355</v>
      </c>
      <c r="E52" s="14">
        <v>1.2563696621126301E-2</v>
      </c>
      <c r="F52" s="14">
        <v>0.49722222222222218</v>
      </c>
      <c r="G52" s="14">
        <v>2.1509999999999998</v>
      </c>
      <c r="H52" s="14">
        <v>1.002777777777778</v>
      </c>
      <c r="I52" s="14">
        <v>20.04276006411229</v>
      </c>
      <c r="J52" s="14">
        <f t="shared" si="16"/>
        <v>0.41832427360729513</v>
      </c>
      <c r="K52" s="14">
        <f t="shared" si="20"/>
        <v>0.63947442490842754</v>
      </c>
      <c r="L52" s="14"/>
      <c r="M52" s="14">
        <f>K52</f>
        <v>0.63947442490842754</v>
      </c>
    </row>
    <row r="53" spans="1:13">
      <c r="A53">
        <v>25.5</v>
      </c>
      <c r="B53" s="4">
        <v>54070</v>
      </c>
      <c r="C53" s="14">
        <v>0.59714179724358019</v>
      </c>
      <c r="D53" s="14">
        <v>0.58675019054605404</v>
      </c>
      <c r="E53" s="14">
        <v>1.22015450147267E-2</v>
      </c>
      <c r="F53" s="14">
        <v>0.51388888888888884</v>
      </c>
      <c r="G53" s="14">
        <v>0</v>
      </c>
      <c r="H53" s="14"/>
      <c r="I53" s="14"/>
      <c r="J53" s="14">
        <f t="shared" si="16"/>
        <v>0.42206849504079469</v>
      </c>
      <c r="K53" s="14">
        <f t="shared" si="20"/>
        <v>0.63548975265196805</v>
      </c>
      <c r="L53" s="14"/>
      <c r="M53" s="14"/>
    </row>
    <row r="54" spans="1:13">
      <c r="A54">
        <v>26</v>
      </c>
      <c r="B54" s="4">
        <v>54252</v>
      </c>
      <c r="C54" s="14">
        <v>0.59299302894571138</v>
      </c>
      <c r="D54" s="14">
        <v>0.58325070461122197</v>
      </c>
      <c r="E54" s="14">
        <v>1.1868069830263801E-2</v>
      </c>
      <c r="F54" s="14">
        <v>0.50555555555555554</v>
      </c>
      <c r="G54" s="14">
        <v>0</v>
      </c>
      <c r="H54" s="14"/>
      <c r="I54" s="14"/>
      <c r="J54" s="14">
        <f t="shared" si="16"/>
        <v>0.42562643461607941</v>
      </c>
      <c r="K54" s="14">
        <f t="shared" si="20"/>
        <v>0.63169957501424834</v>
      </c>
      <c r="L54" s="14"/>
      <c r="M54" s="14"/>
    </row>
    <row r="55" spans="1:13">
      <c r="A55">
        <v>26.5</v>
      </c>
      <c r="B55" s="4">
        <v>54435</v>
      </c>
      <c r="C55" s="14">
        <v>0.58891583250939061</v>
      </c>
      <c r="D55" s="14">
        <v>0.57983716615897962</v>
      </c>
      <c r="E55" s="14">
        <v>1.15805884799351E-2</v>
      </c>
      <c r="F55" s="14">
        <v>0.5083333333333333</v>
      </c>
      <c r="G55" s="14">
        <v>0</v>
      </c>
      <c r="H55" s="14"/>
      <c r="I55" s="14"/>
      <c r="J55" s="14">
        <f t="shared" si="16"/>
        <v>0.42909326383476432</v>
      </c>
      <c r="K55" s="14">
        <f t="shared" si="20"/>
        <v>0.62800264955444218</v>
      </c>
      <c r="L55" s="14"/>
      <c r="M55" s="14"/>
    </row>
    <row r="56" spans="1:13">
      <c r="A56">
        <v>27</v>
      </c>
      <c r="B56" s="4">
        <v>54616</v>
      </c>
      <c r="C56" s="14">
        <v>0.58496282841536662</v>
      </c>
      <c r="D56" s="14">
        <v>0.57655059372333639</v>
      </c>
      <c r="E56" s="14">
        <v>1.13378239913883E-2</v>
      </c>
      <c r="F56" s="14">
        <v>0.50277777777777777</v>
      </c>
      <c r="G56" s="14">
        <v>0</v>
      </c>
      <c r="H56" s="14"/>
      <c r="I56" s="14"/>
      <c r="J56" s="14">
        <f t="shared" si="16"/>
        <v>0.43242778942310917</v>
      </c>
      <c r="K56" s="14">
        <f t="shared" si="20"/>
        <v>0.62444307055882697</v>
      </c>
      <c r="L56" s="14"/>
      <c r="M56" s="14"/>
    </row>
    <row r="57" spans="1:13">
      <c r="A57">
        <v>27.5</v>
      </c>
      <c r="B57" s="4">
        <v>54800</v>
      </c>
      <c r="C57" s="14">
        <v>0.58101208887308553</v>
      </c>
      <c r="D57" s="14">
        <v>0.57328687722651306</v>
      </c>
      <c r="E57" s="14">
        <v>1.1138458824115899E-2</v>
      </c>
      <c r="F57" s="14">
        <v>0.51111111111111107</v>
      </c>
      <c r="G57" s="14">
        <v>0</v>
      </c>
      <c r="H57" s="14"/>
      <c r="I57" s="14"/>
      <c r="J57" s="14">
        <f t="shared" si="16"/>
        <v>0.43573548547309154</v>
      </c>
      <c r="K57" s="14">
        <f t="shared" si="20"/>
        <v>0.62090824608219508</v>
      </c>
      <c r="L57" s="14"/>
      <c r="M57" s="14"/>
    </row>
    <row r="58" spans="1:13">
      <c r="A58">
        <v>28</v>
      </c>
      <c r="B58" s="4">
        <v>54981</v>
      </c>
      <c r="C58" s="14">
        <v>0.57717966116032426</v>
      </c>
      <c r="D58" s="14">
        <v>0.57013896952900966</v>
      </c>
      <c r="E58" s="14">
        <v>1.09815890846915E-2</v>
      </c>
      <c r="F58" s="14">
        <v>0.50277777777777777</v>
      </c>
      <c r="G58" s="14">
        <v>0</v>
      </c>
      <c r="H58" s="14"/>
      <c r="I58" s="14"/>
      <c r="J58" s="14">
        <f t="shared" si="16"/>
        <v>0.4389222669339517</v>
      </c>
      <c r="K58" s="14">
        <f t="shared" si="20"/>
        <v>0.61749885032427831</v>
      </c>
      <c r="L58" s="14"/>
      <c r="M58" s="14"/>
    </row>
    <row r="59" spans="1:13">
      <c r="A59">
        <v>28.5</v>
      </c>
      <c r="B59" s="4">
        <v>55165</v>
      </c>
      <c r="C59" s="14">
        <v>0.57332577765484094</v>
      </c>
      <c r="D59" s="14">
        <v>0.56698905422546453</v>
      </c>
      <c r="E59" s="14">
        <v>1.0869482791382201E-2</v>
      </c>
      <c r="F59" s="14">
        <v>0.51111111111111107</v>
      </c>
      <c r="G59" s="14">
        <v>0</v>
      </c>
      <c r="H59" s="14"/>
      <c r="I59" s="14"/>
      <c r="J59" s="14">
        <f t="shared" si="16"/>
        <v>0.4421073859895901</v>
      </c>
      <c r="K59" s="14">
        <f t="shared" si="20"/>
        <v>0.61408728019399095</v>
      </c>
      <c r="L59" s="14"/>
      <c r="M59" s="14"/>
    </row>
    <row r="60" spans="1:13">
      <c r="A60">
        <v>29</v>
      </c>
      <c r="B60" s="4">
        <v>55346</v>
      </c>
      <c r="C60" s="14">
        <v>0.56956397983013385</v>
      </c>
      <c r="D60" s="14">
        <v>0.56392695819486949</v>
      </c>
      <c r="E60" s="14">
        <v>1.07999035290495E-2</v>
      </c>
      <c r="F60" s="14">
        <v>0.50277777777777777</v>
      </c>
      <c r="G60" s="14">
        <v>0</v>
      </c>
      <c r="H60" s="14"/>
      <c r="I60" s="14"/>
      <c r="J60" s="14">
        <f t="shared" si="16"/>
        <v>0.44520009077424966</v>
      </c>
      <c r="K60" s="14">
        <f t="shared" si="20"/>
        <v>0.61077082424284446</v>
      </c>
      <c r="L60" s="14"/>
      <c r="M60" s="14"/>
    </row>
    <row r="61" spans="1:13">
      <c r="A61">
        <v>29.5</v>
      </c>
      <c r="B61" s="4">
        <v>55530</v>
      </c>
      <c r="C61" s="14">
        <v>0.56575749067846093</v>
      </c>
      <c r="D61" s="14">
        <v>0.56083828488264831</v>
      </c>
      <c r="E61" s="14">
        <v>1.0775042723228601E-2</v>
      </c>
      <c r="F61" s="14">
        <v>0.51111111111111107</v>
      </c>
      <c r="G61" s="14">
        <v>0</v>
      </c>
      <c r="H61" s="14"/>
      <c r="I61" s="14"/>
      <c r="J61" s="14">
        <f t="shared" si="16"/>
        <v>0.4483158553533626</v>
      </c>
      <c r="K61" s="14">
        <f>(K62*(G62/100*I62-J61+C62)/C62)</f>
        <v>0.60742558330816587</v>
      </c>
      <c r="L61" s="14"/>
      <c r="M61" s="14"/>
    </row>
    <row r="62" spans="1:13">
      <c r="A62">
        <v>30</v>
      </c>
      <c r="B62" s="4">
        <v>55712</v>
      </c>
      <c r="C62" s="14">
        <v>0.56199826955425991</v>
      </c>
      <c r="D62" s="14">
        <v>0.55779469673686044</v>
      </c>
      <c r="E62" s="14">
        <v>1.0793010904611801E-2</v>
      </c>
      <c r="F62" s="14">
        <v>0.50555555555555554</v>
      </c>
      <c r="G62" s="14">
        <v>1.9034797408429043</v>
      </c>
      <c r="H62" s="14">
        <v>1</v>
      </c>
      <c r="I62" s="14">
        <v>22.334839906326771</v>
      </c>
      <c r="J62" s="14">
        <f t="shared" si="16"/>
        <v>0.45138238015393017</v>
      </c>
      <c r="K62" s="14">
        <f t="shared" ref="K62:K70" si="21">K63*(1+E63*F63)</f>
        <v>0.63355319762609208</v>
      </c>
      <c r="L62" s="14"/>
      <c r="M62" s="14">
        <f>K62</f>
        <v>0.63355319762609208</v>
      </c>
    </row>
    <row r="63" spans="1:13">
      <c r="A63">
        <v>30.5</v>
      </c>
      <c r="B63" s="4">
        <v>55897</v>
      </c>
      <c r="C63" s="14">
        <v>0.55817405862420799</v>
      </c>
      <c r="D63" s="14">
        <v>0.55470287369725568</v>
      </c>
      <c r="E63" s="14">
        <v>1.0846384244233899E-2</v>
      </c>
      <c r="F63" s="14">
        <v>0.51388888888888884</v>
      </c>
      <c r="G63" s="14">
        <v>0</v>
      </c>
      <c r="H63" s="14"/>
      <c r="I63" s="14"/>
      <c r="J63" s="14">
        <f t="shared" si="16"/>
        <v>0.45449355101025046</v>
      </c>
      <c r="K63" s="14">
        <f t="shared" si="21"/>
        <v>0.63004144969321474</v>
      </c>
      <c r="L63" s="14"/>
      <c r="M63" s="14"/>
    </row>
    <row r="64" spans="1:13">
      <c r="A64">
        <v>31</v>
      </c>
      <c r="B64" s="4">
        <v>56079</v>
      </c>
      <c r="C64" s="14">
        <v>0.55441017461360897</v>
      </c>
      <c r="D64" s="14">
        <v>0.55166414272305053</v>
      </c>
      <c r="E64" s="14">
        <v>1.08955362271776E-2</v>
      </c>
      <c r="F64" s="14">
        <v>0.50555555555555554</v>
      </c>
      <c r="G64" s="14">
        <v>0</v>
      </c>
      <c r="H64" s="14"/>
      <c r="I64" s="14"/>
      <c r="J64" s="14">
        <f t="shared" si="16"/>
        <v>0.45754740794881643</v>
      </c>
      <c r="K64" s="14">
        <f t="shared" si="21"/>
        <v>0.62659000467823756</v>
      </c>
      <c r="L64" s="14"/>
      <c r="M64" s="14"/>
    </row>
    <row r="65" spans="1:13">
      <c r="A65">
        <v>31.5</v>
      </c>
      <c r="B65" s="4">
        <v>56261</v>
      </c>
      <c r="C65" s="14">
        <v>0.55064827385461712</v>
      </c>
      <c r="D65" s="14">
        <v>0.5486319065880878</v>
      </c>
      <c r="E65" s="14">
        <v>1.0932826565357399E-2</v>
      </c>
      <c r="F65" s="14">
        <v>0.50555555555555554</v>
      </c>
      <c r="G65" s="14">
        <v>0</v>
      </c>
      <c r="H65" s="14"/>
      <c r="I65" s="14"/>
      <c r="J65" s="14">
        <f t="shared" si="16"/>
        <v>0.46059092422085812</v>
      </c>
      <c r="K65" s="14">
        <f t="shared" si="21"/>
        <v>0.62314578370703511</v>
      </c>
      <c r="L65" s="14"/>
      <c r="M65" s="14"/>
    </row>
    <row r="66" spans="1:13">
      <c r="A66">
        <v>32</v>
      </c>
      <c r="B66" s="4">
        <v>56443</v>
      </c>
      <c r="C66" s="14">
        <v>0.546891901283866</v>
      </c>
      <c r="D66" s="14">
        <v>0.54560963384076011</v>
      </c>
      <c r="E66" s="14">
        <v>1.0956774856977301E-2</v>
      </c>
      <c r="F66" s="14">
        <v>0.50555555555555554</v>
      </c>
      <c r="G66" s="14">
        <v>0</v>
      </c>
      <c r="H66" s="14"/>
      <c r="I66" s="14"/>
      <c r="J66" s="14">
        <f t="shared" si="16"/>
        <v>0.46362029977889097</v>
      </c>
      <c r="K66" s="14">
        <f t="shared" si="21"/>
        <v>0.61971303308299253</v>
      </c>
      <c r="L66" s="14"/>
      <c r="M66" s="14"/>
    </row>
    <row r="67" spans="1:13">
      <c r="A67">
        <v>32.5</v>
      </c>
      <c r="B67" s="4">
        <v>56626</v>
      </c>
      <c r="C67" s="14">
        <v>0.5431239515609213</v>
      </c>
      <c r="D67" s="14">
        <v>0.54258422783504157</v>
      </c>
      <c r="E67" s="14">
        <v>1.09691991996723E-2</v>
      </c>
      <c r="F67" s="14">
        <v>0.5083333333333333</v>
      </c>
      <c r="G67" s="14">
        <v>0</v>
      </c>
      <c r="H67" s="14"/>
      <c r="I67" s="14"/>
      <c r="J67" s="14">
        <f t="shared" si="16"/>
        <v>0.46664876414307332</v>
      </c>
      <c r="K67" s="14">
        <f t="shared" si="21"/>
        <v>0.61627666846757256</v>
      </c>
      <c r="L67" s="14"/>
      <c r="M67" s="14"/>
    </row>
    <row r="68" spans="1:13">
      <c r="A68">
        <v>33</v>
      </c>
      <c r="B68" s="4">
        <v>56807</v>
      </c>
      <c r="C68" s="14">
        <v>0.53940946446737725</v>
      </c>
      <c r="D68" s="14">
        <v>0.53960847472234175</v>
      </c>
      <c r="E68" s="14">
        <v>1.0968369202468299E-2</v>
      </c>
      <c r="F68" s="14">
        <v>0.50277777777777777</v>
      </c>
      <c r="G68" s="14">
        <v>0</v>
      </c>
      <c r="H68" s="14"/>
      <c r="I68" s="14"/>
      <c r="J68" s="14">
        <f t="shared" ref="J68:J99" si="22">J67+(E68*F68*C68)</f>
        <v>0.4696234197834141</v>
      </c>
      <c r="K68" s="14">
        <f t="shared" si="21"/>
        <v>0.61289675596662507</v>
      </c>
      <c r="L68" s="14"/>
      <c r="M68" s="14"/>
    </row>
    <row r="69" spans="1:13">
      <c r="A69">
        <v>33.5</v>
      </c>
      <c r="B69" s="4">
        <v>56991</v>
      </c>
      <c r="C69" s="14">
        <v>0.53564926141067259</v>
      </c>
      <c r="D69" s="14">
        <v>0.53660360945520758</v>
      </c>
      <c r="E69" s="14">
        <v>1.0956102632769599E-2</v>
      </c>
      <c r="F69" s="14">
        <v>0.51111111111111107</v>
      </c>
      <c r="G69" s="14">
        <v>0</v>
      </c>
      <c r="H69" s="14"/>
      <c r="I69" s="14"/>
      <c r="J69" s="14">
        <f t="shared" si="22"/>
        <v>0.47262294090592966</v>
      </c>
      <c r="K69" s="14">
        <f t="shared" si="21"/>
        <v>0.60948377737081827</v>
      </c>
      <c r="L69" s="14"/>
      <c r="M69" s="14"/>
    </row>
    <row r="70" spans="1:13">
      <c r="A70">
        <v>34</v>
      </c>
      <c r="B70" s="4">
        <v>57173</v>
      </c>
      <c r="C70" s="14">
        <v>0.53194885680512016</v>
      </c>
      <c r="D70" s="14">
        <v>0.53365464410213215</v>
      </c>
      <c r="E70" s="14">
        <v>1.0930511605727E-2</v>
      </c>
      <c r="F70" s="14">
        <v>0.50555555555555554</v>
      </c>
      <c r="G70" s="14">
        <v>0</v>
      </c>
      <c r="H70" s="14"/>
      <c r="I70" s="14"/>
      <c r="J70" s="14">
        <f t="shared" si="22"/>
        <v>0.47556248011103802</v>
      </c>
      <c r="K70" s="14">
        <f t="shared" si="21"/>
        <v>0.6061342908763967</v>
      </c>
      <c r="L70" s="14"/>
      <c r="M70" s="14"/>
    </row>
    <row r="71" spans="1:13">
      <c r="A71">
        <v>34.5</v>
      </c>
      <c r="B71" s="4">
        <v>57357</v>
      </c>
      <c r="C71" s="14">
        <v>0.52823009110863162</v>
      </c>
      <c r="D71" s="14">
        <v>0.53069993891946243</v>
      </c>
      <c r="E71" s="14">
        <v>1.0893057448593301E-2</v>
      </c>
      <c r="F71" s="14">
        <v>0.51111111111111107</v>
      </c>
      <c r="G71" s="14">
        <v>0</v>
      </c>
      <c r="H71" s="14"/>
      <c r="I71" s="14"/>
      <c r="J71" s="14">
        <f t="shared" si="22"/>
        <v>0.47850343426117148</v>
      </c>
      <c r="K71" s="14">
        <f>(K72*(G72/100*I72-J71+C72)/C72)</f>
        <v>0.60277828498299801</v>
      </c>
      <c r="L71" s="14"/>
      <c r="M71" s="14"/>
    </row>
    <row r="72" spans="1:13">
      <c r="A72">
        <v>35</v>
      </c>
      <c r="B72" s="4">
        <v>57538</v>
      </c>
      <c r="C72" s="14">
        <v>0.52459684006245333</v>
      </c>
      <c r="D72" s="14">
        <v>0.52782259332972981</v>
      </c>
      <c r="E72" s="14">
        <v>1.08424636949378E-2</v>
      </c>
      <c r="F72" s="14">
        <v>0.50277777777777777</v>
      </c>
      <c r="G72" s="14">
        <v>1.7947296657961487</v>
      </c>
      <c r="H72" s="14">
        <v>1</v>
      </c>
      <c r="I72" s="14">
        <v>25.032159696291082</v>
      </c>
      <c r="J72" s="14">
        <f t="shared" si="22"/>
        <v>0.48136319514146864</v>
      </c>
      <c r="K72" s="14">
        <f t="shared" ref="K72:K80" si="23">K73*(1+E73*F73)</f>
        <v>0.6383641208853772</v>
      </c>
      <c r="L72" s="14"/>
      <c r="M72" s="14">
        <f>K72</f>
        <v>0.6383641208853772</v>
      </c>
    </row>
    <row r="73" spans="1:13">
      <c r="A73">
        <v>35.5</v>
      </c>
      <c r="B73" s="4">
        <v>57724</v>
      </c>
      <c r="C73" s="14">
        <v>0.52089196930492376</v>
      </c>
      <c r="D73" s="14">
        <v>0.5248990250607739</v>
      </c>
      <c r="E73" s="14">
        <v>1.07802052586819E-2</v>
      </c>
      <c r="F73" s="14">
        <v>0.51666666666666672</v>
      </c>
      <c r="G73" s="14">
        <v>0</v>
      </c>
      <c r="H73" s="14"/>
      <c r="I73" s="14"/>
      <c r="J73" s="14">
        <f t="shared" si="22"/>
        <v>0.48426444502060012</v>
      </c>
      <c r="K73" s="14">
        <f t="shared" si="23"/>
        <v>0.63482827169770417</v>
      </c>
      <c r="L73" s="14"/>
      <c r="M73" s="14"/>
    </row>
    <row r="74" spans="1:13">
      <c r="A74">
        <v>36</v>
      </c>
      <c r="B74" s="4">
        <v>57903</v>
      </c>
      <c r="C74" s="14">
        <v>0.51735683932539711</v>
      </c>
      <c r="D74" s="14">
        <v>0.5221203071921855</v>
      </c>
      <c r="E74" s="14">
        <v>1.07032216274824E-2</v>
      </c>
      <c r="F74" s="14">
        <v>0.49722222222222218</v>
      </c>
      <c r="G74" s="14">
        <v>0</v>
      </c>
      <c r="H74" s="14"/>
      <c r="I74" s="14"/>
      <c r="J74" s="14">
        <f t="shared" si="22"/>
        <v>0.4870177558517419</v>
      </c>
      <c r="K74" s="14">
        <f t="shared" si="23"/>
        <v>0.63146767672401583</v>
      </c>
      <c r="L74" s="14"/>
      <c r="M74" s="14"/>
    </row>
    <row r="75" spans="1:13">
      <c r="A75">
        <v>36.5</v>
      </c>
      <c r="B75" s="4">
        <v>58088</v>
      </c>
      <c r="C75" s="14">
        <v>0.51373727224032295</v>
      </c>
      <c r="D75" s="14">
        <v>0.51928740042500721</v>
      </c>
      <c r="E75" s="14">
        <v>1.06158621108882E-2</v>
      </c>
      <c r="F75" s="14">
        <v>0.51388888888888884</v>
      </c>
      <c r="G75" s="14">
        <v>0</v>
      </c>
      <c r="H75" s="14"/>
      <c r="I75" s="14"/>
      <c r="J75" s="14">
        <f t="shared" si="22"/>
        <v>0.48982038459622945</v>
      </c>
      <c r="K75" s="14">
        <f t="shared" si="23"/>
        <v>0.62804147584654768</v>
      </c>
      <c r="L75" s="14"/>
      <c r="M75" s="14"/>
    </row>
    <row r="76" spans="1:13">
      <c r="A76">
        <v>37</v>
      </c>
      <c r="B76" s="4">
        <v>58270</v>
      </c>
      <c r="C76" s="14">
        <v>0.51021287719542696</v>
      </c>
      <c r="D76" s="14">
        <v>0.51654201597351568</v>
      </c>
      <c r="E76" s="14">
        <v>1.05130475648442E-2</v>
      </c>
      <c r="F76" s="14">
        <v>0.50555555555555554</v>
      </c>
      <c r="G76" s="14">
        <v>0</v>
      </c>
      <c r="H76" s="14"/>
      <c r="I76" s="14"/>
      <c r="J76" s="14">
        <f t="shared" si="22"/>
        <v>0.49253213012067271</v>
      </c>
      <c r="K76" s="14">
        <f t="shared" si="23"/>
        <v>0.62472112703533111</v>
      </c>
      <c r="L76" s="14"/>
      <c r="M76" s="14"/>
    </row>
    <row r="77" spans="1:13">
      <c r="A77">
        <v>37.5</v>
      </c>
      <c r="B77" s="4">
        <v>58452</v>
      </c>
      <c r="C77" s="14">
        <v>0.50672726759364373</v>
      </c>
      <c r="D77" s="14">
        <v>0.51384074987513662</v>
      </c>
      <c r="E77" s="14">
        <v>1.0398104339398801E-2</v>
      </c>
      <c r="F77" s="14">
        <v>0.50555555555555554</v>
      </c>
      <c r="G77" s="14">
        <v>0</v>
      </c>
      <c r="H77" s="14"/>
      <c r="I77" s="14"/>
      <c r="J77" s="14">
        <f t="shared" si="22"/>
        <v>0.4951959038595905</v>
      </c>
      <c r="K77" s="14">
        <f t="shared" si="23"/>
        <v>0.62145425424543965</v>
      </c>
      <c r="L77" s="14"/>
      <c r="M77" s="14"/>
    </row>
    <row r="78" spans="1:13">
      <c r="A78">
        <v>38</v>
      </c>
      <c r="B78" s="4">
        <v>58634</v>
      </c>
      <c r="C78" s="14">
        <v>0.50328295965269065</v>
      </c>
      <c r="D78" s="14">
        <v>0.51118640050096331</v>
      </c>
      <c r="E78" s="14">
        <v>1.0270933253150399E-2</v>
      </c>
      <c r="F78" s="14">
        <v>0.50555555555555554</v>
      </c>
      <c r="G78" s="14">
        <v>0</v>
      </c>
      <c r="H78" s="14"/>
      <c r="I78" s="14"/>
      <c r="J78" s="14">
        <f t="shared" si="22"/>
        <v>0.49780921440086667</v>
      </c>
      <c r="K78" s="14">
        <f t="shared" si="23"/>
        <v>0.61824400532836843</v>
      </c>
      <c r="L78" s="14"/>
      <c r="M78" s="14"/>
    </row>
    <row r="79" spans="1:13">
      <c r="A79">
        <v>38.5</v>
      </c>
      <c r="B79" s="4">
        <v>58818</v>
      </c>
      <c r="C79" s="14">
        <v>0.49984527842257231</v>
      </c>
      <c r="D79" s="14">
        <v>0.50855337125243827</v>
      </c>
      <c r="E79" s="14">
        <v>1.0129868870633E-2</v>
      </c>
      <c r="F79" s="14">
        <v>0.51111111111111107</v>
      </c>
      <c r="G79" s="14">
        <v>0</v>
      </c>
      <c r="H79" s="14"/>
      <c r="I79" s="14"/>
      <c r="J79" s="14">
        <f t="shared" si="22"/>
        <v>0.50039715759861314</v>
      </c>
      <c r="K79" s="14">
        <f t="shared" si="23"/>
        <v>0.61505954160406051</v>
      </c>
      <c r="L79" s="14"/>
      <c r="M79" s="14"/>
    </row>
    <row r="80" spans="1:13">
      <c r="A80">
        <v>39</v>
      </c>
      <c r="B80" s="4">
        <v>58999</v>
      </c>
      <c r="C80" s="14">
        <v>0.49650964556268212</v>
      </c>
      <c r="D80" s="14">
        <v>0.50601548457043399</v>
      </c>
      <c r="E80" s="14">
        <v>9.9754465449435996E-3</v>
      </c>
      <c r="F80" s="14">
        <v>0.50277777777777777</v>
      </c>
      <c r="G80" s="14">
        <v>0</v>
      </c>
      <c r="H80" s="14"/>
      <c r="I80" s="14"/>
      <c r="J80" s="14">
        <f t="shared" si="22"/>
        <v>0.50288736838342718</v>
      </c>
      <c r="K80" s="14">
        <f t="shared" si="23"/>
        <v>0.61199014612363656</v>
      </c>
      <c r="L80" s="14"/>
      <c r="M80" s="14"/>
    </row>
    <row r="81" spans="1:13">
      <c r="A81">
        <v>39.5</v>
      </c>
      <c r="B81" s="4">
        <v>59183</v>
      </c>
      <c r="C81" s="14">
        <v>0.49316783235733408</v>
      </c>
      <c r="D81" s="14">
        <v>0.50349129580180585</v>
      </c>
      <c r="E81" s="14">
        <v>9.8087697655727703E-3</v>
      </c>
      <c r="F81" s="14">
        <v>0.51111111111111107</v>
      </c>
      <c r="G81" s="14">
        <v>0</v>
      </c>
      <c r="H81" s="14"/>
      <c r="I81" s="14"/>
      <c r="J81" s="14">
        <f t="shared" si="22"/>
        <v>0.50535980179759898</v>
      </c>
      <c r="K81" s="14">
        <f>(K82*(G82/100*I82-J81+C82))/C82</f>
        <v>0.60893731730621858</v>
      </c>
      <c r="L81" s="14"/>
      <c r="M81" s="14"/>
    </row>
    <row r="82" spans="1:13">
      <c r="A82">
        <v>40</v>
      </c>
      <c r="B82" s="4">
        <v>59364</v>
      </c>
      <c r="C82" s="14">
        <v>0.48993103816542471</v>
      </c>
      <c r="D82" s="14">
        <v>0.50106569279954849</v>
      </c>
      <c r="E82" s="14">
        <v>9.6282859328103293E-3</v>
      </c>
      <c r="F82" s="14">
        <v>0.50277777777777777</v>
      </c>
      <c r="G82" s="14">
        <v>1.703393541243887</v>
      </c>
      <c r="H82" s="14">
        <v>1</v>
      </c>
      <c r="I82" s="14">
        <v>27.549491555734601</v>
      </c>
      <c r="J82" s="14">
        <f t="shared" si="22"/>
        <v>0.50773150318157001</v>
      </c>
      <c r="K82" s="15">
        <f t="shared" ref="K82:K100" si="24">K83*(1+E83*F83)</f>
        <v>0.65735141112532813</v>
      </c>
      <c r="L82" s="15">
        <v>0.65735141112532802</v>
      </c>
      <c r="M82" s="14">
        <f>K82</f>
        <v>0.65735141112532813</v>
      </c>
    </row>
    <row r="83" spans="1:13">
      <c r="A83">
        <v>40.5</v>
      </c>
      <c r="B83" s="4">
        <v>59548</v>
      </c>
      <c r="C83" s="14">
        <v>0.48669362634470931</v>
      </c>
      <c r="D83" s="14">
        <v>0.49865975423065317</v>
      </c>
      <c r="E83" s="14">
        <v>9.4398456525104004E-3</v>
      </c>
      <c r="F83" s="14">
        <v>0.51111111111111107</v>
      </c>
      <c r="G83" s="14">
        <v>0</v>
      </c>
      <c r="H83" s="14"/>
      <c r="I83" s="14"/>
      <c r="J83" s="14">
        <f t="shared" si="22"/>
        <v>0.51007970745697795</v>
      </c>
      <c r="K83" s="14">
        <f t="shared" si="24"/>
        <v>0.65419504433336551</v>
      </c>
      <c r="L83" s="14"/>
      <c r="M83" s="14"/>
    </row>
    <row r="84" spans="1:13">
      <c r="A84">
        <v>41</v>
      </c>
      <c r="B84" s="4">
        <v>59729</v>
      </c>
      <c r="C84" s="14">
        <v>0.4835606296701902</v>
      </c>
      <c r="D84" s="14">
        <v>0.49634912885889831</v>
      </c>
      <c r="E84" s="14">
        <v>9.2590451040213406E-3</v>
      </c>
      <c r="F84" s="14">
        <v>0.50277777777777777</v>
      </c>
      <c r="G84" s="14">
        <v>0</v>
      </c>
      <c r="H84" s="14"/>
      <c r="I84" s="14"/>
      <c r="J84" s="14">
        <f t="shared" si="22"/>
        <v>0.51233079926863567</v>
      </c>
      <c r="K84" s="14">
        <f t="shared" si="24"/>
        <v>0.65116371955792796</v>
      </c>
      <c r="L84" s="14"/>
      <c r="M84" s="14"/>
    </row>
    <row r="85" spans="1:13">
      <c r="A85">
        <v>41.5</v>
      </c>
      <c r="B85" s="4">
        <v>59915</v>
      </c>
      <c r="C85" s="14">
        <v>0.48039334667767708</v>
      </c>
      <c r="D85" s="14">
        <v>0.49402867581010651</v>
      </c>
      <c r="E85" s="14">
        <v>9.0909691464970098E-3</v>
      </c>
      <c r="F85" s="14">
        <v>0.51666666666666672</v>
      </c>
      <c r="G85" s="14">
        <v>0</v>
      </c>
      <c r="H85" s="14"/>
      <c r="I85" s="14"/>
      <c r="J85" s="14">
        <f t="shared" si="22"/>
        <v>0.51458720716659745</v>
      </c>
      <c r="K85" s="14">
        <f t="shared" si="24"/>
        <v>0.64811950178769717</v>
      </c>
      <c r="L85" s="14"/>
      <c r="M85" s="14"/>
    </row>
    <row r="86" spans="1:13">
      <c r="A86">
        <v>42</v>
      </c>
      <c r="B86" s="4">
        <v>60097</v>
      </c>
      <c r="C86" s="14">
        <v>0.4773444128346101</v>
      </c>
      <c r="D86" s="14">
        <v>0.49180732439275149</v>
      </c>
      <c r="E86" s="14">
        <v>8.9341530849784603E-3</v>
      </c>
      <c r="F86" s="14">
        <v>0.50555555555555554</v>
      </c>
      <c r="G86" s="14">
        <v>0</v>
      </c>
      <c r="H86" s="14"/>
      <c r="I86" s="14"/>
      <c r="J86" s="14">
        <f t="shared" si="22"/>
        <v>0.51674323379618436</v>
      </c>
      <c r="K86" s="14">
        <f t="shared" si="24"/>
        <v>0.64520529610611255</v>
      </c>
      <c r="L86" s="14"/>
      <c r="M86" s="14"/>
    </row>
    <row r="87" spans="1:13">
      <c r="A87">
        <v>42.5</v>
      </c>
      <c r="B87" s="4">
        <v>60279</v>
      </c>
      <c r="C87" s="14">
        <v>0.47434415945888991</v>
      </c>
      <c r="D87" s="14">
        <v>0.4896309584163458</v>
      </c>
      <c r="E87" s="14">
        <v>8.7916116448463408E-3</v>
      </c>
      <c r="F87" s="14">
        <v>0.50555555555555554</v>
      </c>
      <c r="G87" s="14">
        <v>0</v>
      </c>
      <c r="H87" s="14"/>
      <c r="I87" s="14"/>
      <c r="J87" s="14">
        <f t="shared" si="22"/>
        <v>0.51885152666769929</v>
      </c>
      <c r="K87" s="14">
        <f t="shared" si="24"/>
        <v>0.64235027517004462</v>
      </c>
      <c r="L87" s="14"/>
      <c r="M87" s="14"/>
    </row>
    <row r="88" spans="1:13">
      <c r="A88">
        <v>43</v>
      </c>
      <c r="B88" s="4">
        <v>60461</v>
      </c>
      <c r="C88" s="14">
        <v>0.47139160614948861</v>
      </c>
      <c r="D88" s="14">
        <v>0.48749599328334481</v>
      </c>
      <c r="E88" s="14">
        <v>8.6626516188248893E-3</v>
      </c>
      <c r="F88" s="14">
        <v>0.50555555555555554</v>
      </c>
      <c r="G88" s="14">
        <v>0</v>
      </c>
      <c r="H88" s="14"/>
      <c r="I88" s="14"/>
      <c r="J88" s="14">
        <f t="shared" si="22"/>
        <v>0.52091596341586666</v>
      </c>
      <c r="K88" s="14">
        <f t="shared" si="24"/>
        <v>0.63954939949605283</v>
      </c>
      <c r="L88" s="14"/>
      <c r="M88" s="14"/>
    </row>
    <row r="89" spans="1:13">
      <c r="A89">
        <v>43.5</v>
      </c>
      <c r="B89" s="4">
        <v>60644</v>
      </c>
      <c r="C89" s="14">
        <v>0.46846995448104201</v>
      </c>
      <c r="D89" s="14">
        <v>0.48538748473141352</v>
      </c>
      <c r="E89" s="14">
        <v>8.5453174166054604E-3</v>
      </c>
      <c r="F89" s="14">
        <v>0.5083333333333333</v>
      </c>
      <c r="G89" s="14">
        <v>0</v>
      </c>
      <c r="H89" s="14"/>
      <c r="I89" s="14"/>
      <c r="J89" s="14">
        <f t="shared" si="22"/>
        <v>0.5229509358503015</v>
      </c>
      <c r="K89" s="14">
        <f t="shared" si="24"/>
        <v>0.63678329584020832</v>
      </c>
      <c r="L89" s="14"/>
      <c r="M89" s="14"/>
    </row>
    <row r="90" spans="1:13">
      <c r="A90">
        <v>44</v>
      </c>
      <c r="B90" s="4">
        <v>60825</v>
      </c>
      <c r="C90" s="14">
        <v>0.46562578064583421</v>
      </c>
      <c r="D90" s="14">
        <v>0.48333624725846241</v>
      </c>
      <c r="E90" s="14">
        <v>8.4409339494139791E-3</v>
      </c>
      <c r="F90" s="14">
        <v>0.50277777777777777</v>
      </c>
      <c r="G90" s="14">
        <v>0</v>
      </c>
      <c r="H90" s="14"/>
      <c r="I90" s="14"/>
      <c r="J90" s="14">
        <f t="shared" si="22"/>
        <v>0.52492701162581046</v>
      </c>
      <c r="K90" s="14">
        <f t="shared" si="24"/>
        <v>0.63409226280028652</v>
      </c>
      <c r="L90" s="14"/>
      <c r="M90" s="14"/>
    </row>
    <row r="91" spans="1:13">
      <c r="A91">
        <v>44.5</v>
      </c>
      <c r="B91" s="4">
        <v>61009</v>
      </c>
      <c r="C91" s="14">
        <v>0.46277995896916652</v>
      </c>
      <c r="D91" s="14">
        <v>0.48128244372266532</v>
      </c>
      <c r="E91" s="14">
        <v>8.3491748309134205E-3</v>
      </c>
      <c r="F91" s="14">
        <v>0.51111111111111107</v>
      </c>
      <c r="G91" s="14">
        <v>0</v>
      </c>
      <c r="H91" s="14"/>
      <c r="I91" s="14"/>
      <c r="J91" s="14">
        <f t="shared" si="22"/>
        <v>0.52690185847182291</v>
      </c>
      <c r="K91" s="14">
        <f t="shared" si="24"/>
        <v>0.63139786332425396</v>
      </c>
      <c r="L91" s="14"/>
      <c r="M91" s="14"/>
    </row>
    <row r="92" spans="1:13">
      <c r="A92">
        <v>45</v>
      </c>
      <c r="B92" s="4">
        <v>61190</v>
      </c>
      <c r="C92" s="14">
        <v>0.46002438942535051</v>
      </c>
      <c r="D92" s="14">
        <v>0.47928971420650379</v>
      </c>
      <c r="E92" s="14">
        <v>8.2694032527044995E-3</v>
      </c>
      <c r="F92" s="14">
        <v>0.50277777777777777</v>
      </c>
      <c r="G92" s="14">
        <v>0</v>
      </c>
      <c r="H92" s="14"/>
      <c r="I92" s="14"/>
      <c r="J92" s="14">
        <f t="shared" si="22"/>
        <v>0.5288144890828923</v>
      </c>
      <c r="K92" s="14">
        <f t="shared" si="24"/>
        <v>0.62878358728925998</v>
      </c>
      <c r="L92" s="14"/>
      <c r="M92" s="14"/>
    </row>
    <row r="93" spans="1:13">
      <c r="A93">
        <v>45.5</v>
      </c>
      <c r="B93" s="4">
        <v>61374</v>
      </c>
      <c r="C93" s="14">
        <v>0.45726682763226401</v>
      </c>
      <c r="D93" s="14">
        <v>0.47728865240006779</v>
      </c>
      <c r="E93" s="14">
        <v>8.2028368073458306E-3</v>
      </c>
      <c r="F93" s="14">
        <v>0.51111111111111107</v>
      </c>
      <c r="G93" s="14">
        <v>0</v>
      </c>
      <c r="H93" s="14"/>
      <c r="I93" s="14"/>
      <c r="J93" s="14">
        <f t="shared" si="22"/>
        <v>0.53073160816695997</v>
      </c>
      <c r="K93" s="14">
        <f t="shared" si="24"/>
        <v>0.62615838006335178</v>
      </c>
      <c r="L93" s="14"/>
      <c r="M93" s="14"/>
    </row>
    <row r="94" spans="1:13">
      <c r="A94">
        <v>46</v>
      </c>
      <c r="B94" s="4">
        <v>61556</v>
      </c>
      <c r="C94" s="14">
        <v>0.45458169239949059</v>
      </c>
      <c r="D94" s="14">
        <v>0.47533058089557279</v>
      </c>
      <c r="E94" s="14">
        <v>8.1482417208092097E-3</v>
      </c>
      <c r="F94" s="14">
        <v>0.50555555555555554</v>
      </c>
      <c r="G94" s="14">
        <v>0</v>
      </c>
      <c r="H94" s="14"/>
      <c r="I94" s="14"/>
      <c r="J94" s="14">
        <f t="shared" si="22"/>
        <v>0.53260420693112009</v>
      </c>
      <c r="K94" s="14">
        <f t="shared" si="24"/>
        <v>0.62358957212053245</v>
      </c>
      <c r="L94" s="14"/>
      <c r="M94" s="14"/>
    </row>
    <row r="95" spans="1:13">
      <c r="A95">
        <v>46.5</v>
      </c>
      <c r="B95" s="4">
        <v>61742</v>
      </c>
      <c r="C95" s="14">
        <v>0.45188028198482799</v>
      </c>
      <c r="D95" s="14">
        <v>0.47334797928999178</v>
      </c>
      <c r="E95" s="14">
        <v>8.1067071119907304E-3</v>
      </c>
      <c r="F95" s="14">
        <v>0.51666666666666672</v>
      </c>
      <c r="G95" s="14">
        <v>0</v>
      </c>
      <c r="H95" s="14"/>
      <c r="I95" s="14"/>
      <c r="J95" s="14">
        <f t="shared" si="22"/>
        <v>0.53449689183058302</v>
      </c>
      <c r="K95" s="14">
        <f t="shared" si="24"/>
        <v>0.62098858296351189</v>
      </c>
      <c r="L95" s="14"/>
      <c r="M95" s="14"/>
    </row>
    <row r="96" spans="1:13">
      <c r="A96">
        <v>47</v>
      </c>
      <c r="B96" s="4">
        <v>61921</v>
      </c>
      <c r="C96" s="14">
        <v>0.44932051302385029</v>
      </c>
      <c r="D96" s="14">
        <v>0.47145456425612797</v>
      </c>
      <c r="E96" s="14">
        <v>8.0772026974377208E-3</v>
      </c>
      <c r="F96" s="14">
        <v>0.49722222222222218</v>
      </c>
      <c r="G96" s="14">
        <v>0</v>
      </c>
      <c r="H96" s="14"/>
      <c r="I96" s="14"/>
      <c r="J96" s="14">
        <f t="shared" si="22"/>
        <v>0.53630143700254429</v>
      </c>
      <c r="K96" s="14">
        <f t="shared" si="24"/>
        <v>0.61850456677139098</v>
      </c>
      <c r="L96" s="14"/>
      <c r="M96" s="14"/>
    </row>
    <row r="97" spans="1:17">
      <c r="A97">
        <v>47.5</v>
      </c>
      <c r="B97" s="4">
        <v>62106</v>
      </c>
      <c r="C97" s="14">
        <v>0.44671531179977891</v>
      </c>
      <c r="D97" s="14">
        <v>0.46950955127735849</v>
      </c>
      <c r="E97" s="14">
        <v>8.0613698071773897E-3</v>
      </c>
      <c r="F97" s="14">
        <v>0.51388888888888884</v>
      </c>
      <c r="G97" s="14">
        <v>0</v>
      </c>
      <c r="H97" s="14"/>
      <c r="I97" s="14"/>
      <c r="J97" s="14">
        <f t="shared" si="22"/>
        <v>0.53815202146222518</v>
      </c>
      <c r="K97" s="14">
        <f t="shared" si="24"/>
        <v>0.61595289053150415</v>
      </c>
      <c r="L97" s="14"/>
      <c r="M97" s="14"/>
    </row>
    <row r="98" spans="1:17">
      <c r="A98">
        <v>48</v>
      </c>
      <c r="B98" s="4">
        <v>62288</v>
      </c>
      <c r="C98" s="14">
        <v>0.44419159681857179</v>
      </c>
      <c r="D98" s="14">
        <v>0.46760479806134042</v>
      </c>
      <c r="E98" s="14">
        <v>8.0573247742801099E-3</v>
      </c>
      <c r="F98" s="14">
        <v>0.50555555555555554</v>
      </c>
      <c r="G98" s="14">
        <v>0</v>
      </c>
      <c r="H98" s="14"/>
      <c r="I98" s="14"/>
      <c r="J98" s="14">
        <f t="shared" si="22"/>
        <v>0.5399614027518872</v>
      </c>
      <c r="K98" s="14">
        <f t="shared" si="24"/>
        <v>0.61345403135821663</v>
      </c>
      <c r="L98" s="14"/>
      <c r="M98" s="14"/>
      <c r="P98" s="4">
        <v>59364</v>
      </c>
      <c r="Q98" s="14">
        <f>L82</f>
        <v>0.65735141112532802</v>
      </c>
    </row>
    <row r="99" spans="1:17">
      <c r="A99">
        <v>48.5</v>
      </c>
      <c r="B99" s="4">
        <v>62470</v>
      </c>
      <c r="C99" s="14">
        <v>0.44170601590680081</v>
      </c>
      <c r="D99" s="14">
        <v>0.46570569634089187</v>
      </c>
      <c r="E99" s="14">
        <v>8.0664530618313798E-3</v>
      </c>
      <c r="F99" s="14">
        <v>0.50555555555555554</v>
      </c>
      <c r="G99" s="14">
        <v>0</v>
      </c>
      <c r="H99" s="14"/>
      <c r="I99" s="14"/>
      <c r="J99" s="14">
        <f t="shared" si="22"/>
        <v>0.54176269762324336</v>
      </c>
      <c r="K99" s="14">
        <f t="shared" si="24"/>
        <v>0.6109625017404533</v>
      </c>
      <c r="L99" s="14"/>
      <c r="M99" s="14"/>
      <c r="P99" s="4">
        <v>66670</v>
      </c>
      <c r="Q99" s="14">
        <f>L122</f>
        <v>0.69402762166885701</v>
      </c>
    </row>
    <row r="100" spans="1:17">
      <c r="A100">
        <v>49</v>
      </c>
      <c r="B100" s="4">
        <v>62652</v>
      </c>
      <c r="C100" s="14">
        <v>0.4392578039092318</v>
      </c>
      <c r="D100" s="14">
        <v>0.46380931440043982</v>
      </c>
      <c r="E100" s="14">
        <v>8.0875589180164006E-3</v>
      </c>
      <c r="F100" s="14">
        <v>0.50555555555555554</v>
      </c>
      <c r="G100" s="14">
        <v>0</v>
      </c>
      <c r="H100" s="14"/>
      <c r="I100" s="14"/>
      <c r="J100" s="14">
        <f t="shared" ref="J100:J122" si="25">J99+(E100*F100*C100)</f>
        <v>0.54355869554884118</v>
      </c>
      <c r="K100" s="14">
        <f t="shared" si="24"/>
        <v>0.6084746252474289</v>
      </c>
      <c r="L100" s="14"/>
      <c r="M100" s="14"/>
      <c r="Q100" s="14"/>
    </row>
    <row r="101" spans="1:17">
      <c r="A101">
        <v>49.5</v>
      </c>
      <c r="B101" s="4">
        <v>62835</v>
      </c>
      <c r="C101" s="14">
        <v>0.43683305994826649</v>
      </c>
      <c r="D101" s="14">
        <v>0.46190234191945129</v>
      </c>
      <c r="E101" s="14">
        <v>8.1218840242567106E-3</v>
      </c>
      <c r="F101" s="14">
        <v>0.5083333333333333</v>
      </c>
      <c r="G101" s="14">
        <v>0</v>
      </c>
      <c r="H101" s="14"/>
      <c r="I101" s="14"/>
      <c r="J101" s="14">
        <f t="shared" si="25"/>
        <v>0.54536221516969552</v>
      </c>
      <c r="K101" s="14">
        <f>(M102*(G102/100*I102-J101+C102))/C102</f>
        <v>0.60597279120863601</v>
      </c>
      <c r="L101" s="14"/>
      <c r="M101" s="14"/>
      <c r="P101" s="4">
        <v>63017</v>
      </c>
      <c r="Q101" s="14" cm="1">
        <f t="array" ref="Q101">interpolate(P98:P99,Q98:Q99,P101,"Natural Cubic Spline")</f>
        <v>0.67568951639709252</v>
      </c>
    </row>
    <row r="102" spans="1:17">
      <c r="A102">
        <v>50</v>
      </c>
      <c r="B102" s="4">
        <v>63017</v>
      </c>
      <c r="C102" s="14">
        <v>0.43445754508781198</v>
      </c>
      <c r="D102" s="14">
        <v>0.46000277084258262</v>
      </c>
      <c r="E102" s="14">
        <v>8.1681971871145394E-3</v>
      </c>
      <c r="F102" s="14">
        <v>0.50555555555555554</v>
      </c>
      <c r="G102" s="14">
        <v>1.5578767500881272</v>
      </c>
      <c r="H102" s="14">
        <v>0.99722222222222223</v>
      </c>
      <c r="I102" s="14">
        <v>32.129337357042132</v>
      </c>
      <c r="J102" s="14">
        <f t="shared" si="25"/>
        <v>0.54715629781242514</v>
      </c>
      <c r="K102" s="14">
        <f t="shared" ref="K102:K120" si="26">K103*(1+E103*F103)</f>
        <v>0.7527586943222766</v>
      </c>
      <c r="L102" s="14"/>
      <c r="M102" s="14">
        <f>Q101</f>
        <v>0.67568951639709252</v>
      </c>
      <c r="P102" s="4">
        <v>66488</v>
      </c>
      <c r="Q102" s="14" cm="1">
        <f t="array" ref="Q102">interpolate(P98:P99,Q98:Q99,P102,"Natural Cubic Spline")</f>
        <v>0.6931139794133242</v>
      </c>
    </row>
    <row r="103" spans="1:17">
      <c r="A103">
        <v>50.5</v>
      </c>
      <c r="B103" s="4">
        <v>63201</v>
      </c>
      <c r="C103" s="14">
        <v>0.43209151992901568</v>
      </c>
      <c r="D103" s="14">
        <v>0.45807702898065161</v>
      </c>
      <c r="E103" s="14">
        <v>8.2251577321086899E-3</v>
      </c>
      <c r="F103" s="14">
        <v>0.51111111111111107</v>
      </c>
      <c r="G103" s="14">
        <v>0</v>
      </c>
      <c r="H103" s="14"/>
      <c r="I103" s="14"/>
      <c r="J103" s="14">
        <f t="shared" si="25"/>
        <v>0.5489727973866656</v>
      </c>
      <c r="K103" s="14">
        <f t="shared" si="26"/>
        <v>0.74960736780540871</v>
      </c>
      <c r="L103" s="14"/>
      <c r="M103" s="14"/>
    </row>
    <row r="104" spans="1:17">
      <c r="A104">
        <v>51</v>
      </c>
      <c r="B104" s="4">
        <v>63382</v>
      </c>
      <c r="C104" s="14">
        <v>0.42979759775090948</v>
      </c>
      <c r="D104" s="14">
        <v>0.45617770642395977</v>
      </c>
      <c r="E104" s="14">
        <v>8.2811107833842199E-3</v>
      </c>
      <c r="F104" s="14">
        <v>0.50277777777777777</v>
      </c>
      <c r="G104" s="14">
        <v>0</v>
      </c>
      <c r="H104" s="14"/>
      <c r="I104" s="14"/>
      <c r="J104" s="14">
        <f t="shared" si="25"/>
        <v>0.55076228481826228</v>
      </c>
      <c r="K104" s="14">
        <f t="shared" si="26"/>
        <v>0.74649927442315933</v>
      </c>
      <c r="L104" s="14"/>
      <c r="M104" s="14"/>
    </row>
    <row r="105" spans="1:17">
      <c r="A105">
        <v>51.5</v>
      </c>
      <c r="B105" s="4">
        <v>63566</v>
      </c>
      <c r="C105" s="14">
        <v>0.42749820729406318</v>
      </c>
      <c r="D105" s="14">
        <v>0.45424265881200709</v>
      </c>
      <c r="E105" s="14">
        <v>8.3346701275028908E-3</v>
      </c>
      <c r="F105" s="14">
        <v>0.51111111111111107</v>
      </c>
      <c r="G105" s="14">
        <v>0</v>
      </c>
      <c r="H105" s="14"/>
      <c r="I105" s="14"/>
      <c r="J105" s="14">
        <f t="shared" si="25"/>
        <v>0.55258340260429739</v>
      </c>
      <c r="K105" s="14">
        <f t="shared" si="26"/>
        <v>0.74333271977141913</v>
      </c>
      <c r="L105" s="14"/>
      <c r="M105" s="14"/>
    </row>
    <row r="106" spans="1:17">
      <c r="A106">
        <v>52</v>
      </c>
      <c r="B106" s="4">
        <v>63747</v>
      </c>
      <c r="C106" s="14">
        <v>0.42526686220753063</v>
      </c>
      <c r="D106" s="14">
        <v>0.45233577293794869</v>
      </c>
      <c r="E106" s="14">
        <v>8.3847031627381999E-3</v>
      </c>
      <c r="F106" s="14">
        <v>0.50277777777777777</v>
      </c>
      <c r="G106" s="14">
        <v>0</v>
      </c>
      <c r="H106" s="14"/>
      <c r="I106" s="14"/>
      <c r="J106" s="14">
        <f t="shared" si="25"/>
        <v>0.55437617562992303</v>
      </c>
      <c r="K106" s="14">
        <f t="shared" si="26"/>
        <v>0.74021224960957965</v>
      </c>
      <c r="L106" s="14"/>
      <c r="M106" s="14"/>
    </row>
    <row r="107" spans="1:17">
      <c r="A107">
        <v>52.5</v>
      </c>
      <c r="B107" s="4">
        <v>63933</v>
      </c>
      <c r="C107" s="14">
        <v>0.42300395048401113</v>
      </c>
      <c r="D107" s="14">
        <v>0.45037351900654238</v>
      </c>
      <c r="E107" s="14">
        <v>8.4328022734497608E-3</v>
      </c>
      <c r="F107" s="14">
        <v>0.51666666666666672</v>
      </c>
      <c r="G107" s="14">
        <v>0</v>
      </c>
      <c r="H107" s="14"/>
      <c r="I107" s="14"/>
      <c r="J107" s="14">
        <f t="shared" si="25"/>
        <v>0.55621918177883822</v>
      </c>
      <c r="K107" s="14">
        <f t="shared" si="26"/>
        <v>0.73700117393577758</v>
      </c>
      <c r="L107" s="14"/>
      <c r="M107" s="14"/>
    </row>
    <row r="108" spans="1:17">
      <c r="A108">
        <v>53</v>
      </c>
      <c r="B108" s="4">
        <v>64112</v>
      </c>
      <c r="C108" s="14">
        <v>0.42085359185350152</v>
      </c>
      <c r="D108" s="14">
        <v>0.44848329287351291</v>
      </c>
      <c r="E108" s="14">
        <v>8.4771553101963201E-3</v>
      </c>
      <c r="F108" s="14">
        <v>0.49722222222222218</v>
      </c>
      <c r="G108" s="14">
        <v>0</v>
      </c>
      <c r="H108" s="14"/>
      <c r="I108" s="14"/>
      <c r="J108" s="14">
        <f t="shared" si="25"/>
        <v>0.55799309229472238</v>
      </c>
      <c r="K108" s="14">
        <f t="shared" si="26"/>
        <v>0.7339077308320181</v>
      </c>
      <c r="L108" s="14"/>
      <c r="M108" s="14"/>
    </row>
    <row r="109" spans="1:17">
      <c r="A109">
        <v>53.5</v>
      </c>
      <c r="B109" s="4">
        <v>64297</v>
      </c>
      <c r="C109" s="14">
        <v>0.41865796586185228</v>
      </c>
      <c r="D109" s="14">
        <v>0.44652860355843721</v>
      </c>
      <c r="E109" s="14">
        <v>8.5184234961502292E-3</v>
      </c>
      <c r="F109" s="14">
        <v>0.51388888888888884</v>
      </c>
      <c r="G109" s="14">
        <v>0</v>
      </c>
      <c r="H109" s="14"/>
      <c r="I109" s="14"/>
      <c r="J109" s="14">
        <f t="shared" si="25"/>
        <v>0.55982577724708593</v>
      </c>
      <c r="K109" s="14">
        <f t="shared" si="26"/>
        <v>0.73070903508904561</v>
      </c>
      <c r="L109" s="14"/>
      <c r="M109" s="14"/>
    </row>
    <row r="110" spans="1:17">
      <c r="A110">
        <v>54</v>
      </c>
      <c r="B110" s="4">
        <v>64479</v>
      </c>
      <c r="C110" s="14">
        <v>0.41652316909722831</v>
      </c>
      <c r="D110" s="14">
        <v>0.44460526621556679</v>
      </c>
      <c r="E110" s="14">
        <v>8.5568116809111999E-3</v>
      </c>
      <c r="F110" s="14">
        <v>0.50555555555555554</v>
      </c>
      <c r="G110" s="14">
        <v>0</v>
      </c>
      <c r="H110" s="14"/>
      <c r="I110" s="14"/>
      <c r="J110" s="14">
        <f t="shared" si="25"/>
        <v>0.56162763301931828</v>
      </c>
      <c r="K110" s="14">
        <f t="shared" si="26"/>
        <v>0.72756164438941351</v>
      </c>
      <c r="L110" s="14"/>
      <c r="M110" s="14"/>
    </row>
    <row r="111" spans="1:17">
      <c r="A111">
        <v>54.5</v>
      </c>
      <c r="B111" s="4">
        <v>64662</v>
      </c>
      <c r="C111" s="14">
        <v>0.41440051403291073</v>
      </c>
      <c r="D111" s="14">
        <v>0.44267175799546321</v>
      </c>
      <c r="E111" s="14">
        <v>8.5926166609796902E-3</v>
      </c>
      <c r="F111" s="14">
        <v>0.5083333333333333</v>
      </c>
      <c r="G111" s="14">
        <v>0</v>
      </c>
      <c r="H111" s="14"/>
      <c r="I111" s="14"/>
      <c r="J111" s="14">
        <f t="shared" si="25"/>
        <v>0.56343769860626047</v>
      </c>
      <c r="K111" s="14">
        <f t="shared" si="26"/>
        <v>0.72439753862331036</v>
      </c>
      <c r="L111" s="14"/>
      <c r="M111" s="14"/>
    </row>
    <row r="112" spans="1:17">
      <c r="A112">
        <v>55</v>
      </c>
      <c r="B112" s="4">
        <v>64843</v>
      </c>
      <c r="C112" s="14">
        <v>0.41232330304732701</v>
      </c>
      <c r="D112" s="14">
        <v>0.4407604879776853</v>
      </c>
      <c r="E112" s="14">
        <v>8.6246864987292293E-3</v>
      </c>
      <c r="F112" s="14">
        <v>0.50277777777777777</v>
      </c>
      <c r="G112" s="14">
        <v>0</v>
      </c>
      <c r="H112" s="14"/>
      <c r="I112" s="14"/>
      <c r="J112" s="14">
        <f t="shared" si="25"/>
        <v>0.56522565643878153</v>
      </c>
      <c r="K112" s="14">
        <f t="shared" si="26"/>
        <v>0.72126989546217379</v>
      </c>
      <c r="L112" s="14"/>
      <c r="M112" s="14"/>
    </row>
    <row r="113" spans="1:13">
      <c r="A113">
        <v>55.5</v>
      </c>
      <c r="B113" s="4">
        <v>65027</v>
      </c>
      <c r="C113" s="14">
        <v>0.41023303462068861</v>
      </c>
      <c r="D113" s="14">
        <v>0.43881938792169117</v>
      </c>
      <c r="E113" s="14">
        <v>8.6545958585986602E-3</v>
      </c>
      <c r="F113" s="14">
        <v>0.51111111111111107</v>
      </c>
      <c r="G113" s="14">
        <v>0</v>
      </c>
      <c r="H113" s="14"/>
      <c r="I113" s="14"/>
      <c r="J113" s="14">
        <f t="shared" si="25"/>
        <v>0.56704030590138677</v>
      </c>
      <c r="K113" s="14">
        <f t="shared" si="26"/>
        <v>0.71809343778809254</v>
      </c>
      <c r="L113" s="14"/>
      <c r="M113" s="14"/>
    </row>
    <row r="114" spans="1:13">
      <c r="A114">
        <v>56</v>
      </c>
      <c r="B114" s="4">
        <v>65208</v>
      </c>
      <c r="C114" s="14">
        <v>0.40819661459807471</v>
      </c>
      <c r="D114" s="14">
        <v>0.43691244865275902</v>
      </c>
      <c r="E114" s="14">
        <v>8.6809322952843097E-3</v>
      </c>
      <c r="F114" s="14">
        <v>0.50277777777777777</v>
      </c>
      <c r="G114" s="14">
        <v>0</v>
      </c>
      <c r="H114" s="14"/>
      <c r="I114" s="14"/>
      <c r="J114" s="14">
        <f t="shared" si="25"/>
        <v>0.56882191261967208</v>
      </c>
      <c r="K114" s="14">
        <f t="shared" si="26"/>
        <v>0.71497288155705152</v>
      </c>
      <c r="L114" s="14"/>
      <c r="M114" s="14"/>
    </row>
    <row r="115" spans="1:13">
      <c r="A115">
        <v>56.5</v>
      </c>
      <c r="B115" s="4">
        <v>65392</v>
      </c>
      <c r="C115" s="14">
        <v>0.40614527843017612</v>
      </c>
      <c r="D115" s="14">
        <v>0.43497715428004807</v>
      </c>
      <c r="E115" s="14">
        <v>8.7049296142755594E-3</v>
      </c>
      <c r="F115" s="14">
        <v>0.51111111111111107</v>
      </c>
      <c r="G115" s="14">
        <v>0</v>
      </c>
      <c r="H115" s="14"/>
      <c r="I115" s="14"/>
      <c r="J115" s="14">
        <f t="shared" si="25"/>
        <v>0.57062892860686798</v>
      </c>
      <c r="K115" s="14">
        <f t="shared" si="26"/>
        <v>0.71180592442734525</v>
      </c>
      <c r="L115" s="14"/>
      <c r="M115" s="14"/>
    </row>
    <row r="116" spans="1:13">
      <c r="A116">
        <v>57</v>
      </c>
      <c r="B116" s="4">
        <v>65573</v>
      </c>
      <c r="C116" s="14">
        <v>0.40414470883480152</v>
      </c>
      <c r="D116" s="14">
        <v>0.43307728307130727</v>
      </c>
      <c r="E116" s="14">
        <v>8.7253465216486307E-3</v>
      </c>
      <c r="F116" s="14">
        <v>0.50277777777777777</v>
      </c>
      <c r="G116" s="14">
        <v>0</v>
      </c>
      <c r="H116" s="14"/>
      <c r="I116" s="14"/>
      <c r="J116" s="14">
        <f t="shared" si="25"/>
        <v>0.57240187520668706</v>
      </c>
      <c r="K116" s="14">
        <f t="shared" si="26"/>
        <v>0.70869693452126858</v>
      </c>
      <c r="L116" s="14"/>
      <c r="M116" s="14"/>
    </row>
    <row r="117" spans="1:13">
      <c r="A117">
        <v>57.5</v>
      </c>
      <c r="B117" s="4">
        <v>65757</v>
      </c>
      <c r="C117" s="14">
        <v>0.40212737607779281</v>
      </c>
      <c r="D117" s="14">
        <v>0.43115052977559809</v>
      </c>
      <c r="E117" s="14">
        <v>8.7434305391164303E-3</v>
      </c>
      <c r="F117" s="14">
        <v>0.51111111111111107</v>
      </c>
      <c r="G117" s="14">
        <v>0</v>
      </c>
      <c r="H117" s="14"/>
      <c r="I117" s="14"/>
      <c r="J117" s="14">
        <f t="shared" si="25"/>
        <v>0.57419892796122274</v>
      </c>
      <c r="K117" s="14">
        <f t="shared" si="26"/>
        <v>0.70554395419275984</v>
      </c>
      <c r="L117" s="14"/>
      <c r="M117" s="14"/>
    </row>
    <row r="118" spans="1:13">
      <c r="A118">
        <v>58</v>
      </c>
      <c r="B118" s="4">
        <v>65939</v>
      </c>
      <c r="C118" s="14">
        <v>0.40014705654540328</v>
      </c>
      <c r="D118" s="14">
        <v>0.42924994370055652</v>
      </c>
      <c r="E118" s="14">
        <v>8.7580699374005203E-3</v>
      </c>
      <c r="F118" s="14">
        <v>0.50555555555555554</v>
      </c>
      <c r="G118" s="14">
        <v>0</v>
      </c>
      <c r="H118" s="14"/>
      <c r="I118" s="14"/>
      <c r="J118" s="14">
        <f t="shared" si="25"/>
        <v>0.57597065544727122</v>
      </c>
      <c r="K118" s="14">
        <f t="shared" si="26"/>
        <v>0.70243379446416931</v>
      </c>
      <c r="L118" s="14"/>
      <c r="M118" s="14"/>
    </row>
    <row r="119" spans="1:13">
      <c r="A119">
        <v>58.5</v>
      </c>
      <c r="B119" s="4">
        <v>66124</v>
      </c>
      <c r="C119" s="14">
        <v>0.39814828570278787</v>
      </c>
      <c r="D119" s="14">
        <v>0.42732401412408821</v>
      </c>
      <c r="E119" s="14">
        <v>8.77028841729857E-3</v>
      </c>
      <c r="F119" s="14">
        <v>0.51388888888888884</v>
      </c>
      <c r="G119" s="14">
        <v>0</v>
      </c>
      <c r="H119" s="14"/>
      <c r="I119" s="14"/>
      <c r="J119" s="14">
        <f t="shared" si="25"/>
        <v>0.57776509136453869</v>
      </c>
      <c r="K119" s="14">
        <f t="shared" si="26"/>
        <v>0.69928216208745508</v>
      </c>
      <c r="L119" s="14"/>
      <c r="M119" s="14"/>
    </row>
    <row r="120" spans="1:13">
      <c r="A120">
        <v>59</v>
      </c>
      <c r="B120" s="4">
        <v>66306</v>
      </c>
      <c r="C120" s="14">
        <v>0.39619474870736199</v>
      </c>
      <c r="D120" s="14">
        <v>0.42543583897085763</v>
      </c>
      <c r="E120" s="14">
        <v>8.7788841684794394E-3</v>
      </c>
      <c r="F120" s="14">
        <v>0.50555555555555554</v>
      </c>
      <c r="G120" s="14">
        <v>0</v>
      </c>
      <c r="H120" s="14"/>
      <c r="I120" s="14"/>
      <c r="J120" s="14">
        <f t="shared" si="25"/>
        <v>0.57952348831144218</v>
      </c>
      <c r="K120" s="14">
        <f t="shared" si="26"/>
        <v>0.69619231185692854</v>
      </c>
      <c r="L120" s="14"/>
      <c r="M120" s="14"/>
    </row>
    <row r="121" spans="1:13">
      <c r="A121">
        <v>59.5</v>
      </c>
      <c r="B121" s="4">
        <v>66488</v>
      </c>
      <c r="C121" s="14">
        <v>0.39425281878583501</v>
      </c>
      <c r="D121" s="14">
        <v>0.4235547524322909</v>
      </c>
      <c r="E121" s="14">
        <v>8.7850042128156895E-3</v>
      </c>
      <c r="F121" s="14">
        <v>0.50555555555555554</v>
      </c>
      <c r="G121" s="14">
        <v>0</v>
      </c>
      <c r="H121" s="14"/>
      <c r="I121" s="14"/>
      <c r="J121" s="14">
        <f t="shared" si="25"/>
        <v>0.58127448638549373</v>
      </c>
      <c r="K121" s="14">
        <f>(K122*(G122/100*I122-J121+C122))/C122</f>
        <v>0.6931139794133242</v>
      </c>
      <c r="L121" s="14"/>
      <c r="M121" s="14"/>
    </row>
    <row r="122" spans="1:13">
      <c r="A122">
        <v>60</v>
      </c>
      <c r="B122" s="4">
        <v>66670</v>
      </c>
      <c r="C122" s="14">
        <v>0.39232141315840419</v>
      </c>
      <c r="D122" s="14">
        <v>0.42168135874896218</v>
      </c>
      <c r="E122" s="14">
        <v>8.7877109154303693E-3</v>
      </c>
      <c r="F122" s="14">
        <v>0.50555555555555554</v>
      </c>
      <c r="G122" s="14">
        <v>1.6026999236139792</v>
      </c>
      <c r="H122" s="14">
        <v>0.99722222222222223</v>
      </c>
      <c r="I122" s="14">
        <v>36.236229389371289</v>
      </c>
      <c r="J122" s="14">
        <f t="shared" si="25"/>
        <v>0.58301744334101591</v>
      </c>
      <c r="K122" s="15">
        <f>(C122*Q102)/(G122/100*I122-J121+C122)</f>
        <v>0.69402762166885701</v>
      </c>
      <c r="L122" s="15">
        <v>0.69402762166885701</v>
      </c>
      <c r="M122" s="14">
        <f>K122</f>
        <v>0.69402762166885701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D3E77-5B3D-4094-8995-4CC2D54C158C}">
  <sheetPr codeName="Sheet8"/>
  <dimension ref="A1:Q122"/>
  <sheetViews>
    <sheetView zoomScaleNormal="100" workbookViewId="0">
      <pane ySplit="1" topLeftCell="A2" activePane="bottomLeft" state="frozen"/>
      <selection pane="bottomLeft" activeCell="P14" sqref="P14"/>
    </sheetView>
  </sheetViews>
  <sheetFormatPr defaultRowHeight="14.4"/>
  <cols>
    <col min="1" max="2" width="10.77734375" bestFit="1" customWidth="1"/>
    <col min="3" max="8" width="9.5546875" bestFit="1" customWidth="1"/>
    <col min="9" max="9" width="10.5546875" bestFit="1" customWidth="1"/>
    <col min="10" max="12" width="9.5546875" bestFit="1" customWidth="1"/>
    <col min="13" max="13" width="10.6640625" bestFit="1" customWidth="1"/>
    <col min="16" max="16" width="10.554687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9" t="s">
        <v>18</v>
      </c>
      <c r="M1" s="10" t="s">
        <v>19</v>
      </c>
    </row>
    <row r="2" spans="1:13">
      <c r="A2">
        <v>0</v>
      </c>
      <c r="B2" s="4">
        <v>44754</v>
      </c>
      <c r="D2">
        <v>1</v>
      </c>
      <c r="E2">
        <v>0</v>
      </c>
      <c r="F2">
        <v>0</v>
      </c>
      <c r="K2">
        <f>K3*(1+G3/100*F3)</f>
        <v>1.000000000191543</v>
      </c>
    </row>
    <row r="3" spans="1:13">
      <c r="A3">
        <v>0.5</v>
      </c>
      <c r="B3" s="4">
        <v>44938</v>
      </c>
      <c r="C3" s="14">
        <v>0.99904288423151055</v>
      </c>
      <c r="D3" s="14">
        <v>0.99801063213993446</v>
      </c>
      <c r="E3" s="14">
        <v>3.89999999999991E-3</v>
      </c>
      <c r="F3" s="14">
        <v>0.51111111111111107</v>
      </c>
      <c r="G3" s="14">
        <v>0.3900076460159036</v>
      </c>
      <c r="H3" s="14"/>
      <c r="I3" s="14"/>
      <c r="J3" s="14">
        <f>E3*F3*C3</f>
        <v>1.9914254825680981E-3</v>
      </c>
      <c r="K3" s="14">
        <f>K4*(1+G4/100*F4)</f>
        <v>0.99801059340679399</v>
      </c>
      <c r="L3" s="14"/>
      <c r="M3" s="14">
        <f>K3</f>
        <v>0.99801059340679399</v>
      </c>
    </row>
    <row r="4" spans="1:13">
      <c r="A4">
        <v>1</v>
      </c>
      <c r="B4" s="4">
        <v>45119</v>
      </c>
      <c r="C4" s="14">
        <v>0.99324592130854139</v>
      </c>
      <c r="D4" s="14">
        <v>0.99104474380986662</v>
      </c>
      <c r="E4" s="14">
        <v>1.3979999999904E-2</v>
      </c>
      <c r="F4" s="14">
        <v>0.50277777777777777</v>
      </c>
      <c r="G4" s="14">
        <v>1.3980961621404508</v>
      </c>
      <c r="H4" s="14">
        <v>1</v>
      </c>
      <c r="I4" s="14">
        <v>0.99324592130854139</v>
      </c>
      <c r="J4" s="14">
        <f t="shared" ref="J4:J35" si="0">J3+(E4*F4*C4)</f>
        <v>8.9727855224110108E-3</v>
      </c>
      <c r="K4" s="14">
        <f>K5*(1+G5/100*F5)</f>
        <v>0.99104422953947902</v>
      </c>
      <c r="L4" s="14"/>
      <c r="M4" s="14">
        <f>K4</f>
        <v>0.99104422953947902</v>
      </c>
    </row>
    <row r="5" spans="1:13">
      <c r="A5">
        <v>1.5</v>
      </c>
      <c r="B5" s="4">
        <v>45303</v>
      </c>
      <c r="C5" s="14">
        <v>0.9860284425870447</v>
      </c>
      <c r="D5" s="14">
        <v>0.98259746260138792</v>
      </c>
      <c r="E5" s="14">
        <v>1.6819999999980999E-2</v>
      </c>
      <c r="F5" s="14">
        <v>0.51111111111111107</v>
      </c>
      <c r="G5" s="14">
        <v>1.6821412880303459</v>
      </c>
      <c r="H5" s="14"/>
      <c r="I5" s="14"/>
      <c r="J5" s="14">
        <f t="shared" si="0"/>
        <v>1.7449562484606416E-2</v>
      </c>
      <c r="K5" s="14">
        <f>(K6*(G6/100*I6-J5+C6)/C6)</f>
        <v>0.9825962491916419</v>
      </c>
      <c r="L5" s="14"/>
      <c r="M5" s="14">
        <f>K5</f>
        <v>0.9825962491916419</v>
      </c>
    </row>
    <row r="6" spans="1:13">
      <c r="A6">
        <v>2</v>
      </c>
      <c r="B6" s="4">
        <v>45485</v>
      </c>
      <c r="C6" s="14">
        <v>0.97878176388692029</v>
      </c>
      <c r="D6" s="14">
        <v>0.97444692296927427</v>
      </c>
      <c r="E6" s="14">
        <v>1.6544714899334002E-2</v>
      </c>
      <c r="F6" s="14">
        <v>0.50555555555555554</v>
      </c>
      <c r="G6" s="14">
        <v>1.3003327771160234</v>
      </c>
      <c r="H6" s="14">
        <v>1</v>
      </c>
      <c r="I6" s="14">
        <v>1.9720276851954619</v>
      </c>
      <c r="J6" s="14">
        <f t="shared" si="0"/>
        <v>2.5636359907540013E-2</v>
      </c>
      <c r="K6" s="14">
        <f>K7*(1+E7*F7)</f>
        <v>0.97443924047653241</v>
      </c>
      <c r="L6" s="14"/>
      <c r="M6" s="14">
        <f>K6</f>
        <v>0.97443924047653241</v>
      </c>
    </row>
    <row r="7" spans="1:13">
      <c r="A7">
        <v>2.5</v>
      </c>
      <c r="B7" s="4">
        <v>45670</v>
      </c>
      <c r="C7" s="14">
        <v>0.9715063307647499</v>
      </c>
      <c r="D7" s="14">
        <v>0.96605078949251333</v>
      </c>
      <c r="E7" s="14">
        <v>1.69125910132602E-2</v>
      </c>
      <c r="F7" s="14">
        <v>0.51388888888888884</v>
      </c>
      <c r="G7" s="14">
        <v>0</v>
      </c>
      <c r="H7" s="14"/>
      <c r="I7" s="14"/>
      <c r="J7" s="14">
        <f t="shared" si="0"/>
        <v>3.4079908544257236E-2</v>
      </c>
      <c r="K7" s="14">
        <f>(K8*(G8/100*I8-J7+C8)/C8)</f>
        <v>0.96604317319448452</v>
      </c>
      <c r="L7" s="14"/>
      <c r="M7" s="14"/>
    </row>
    <row r="8" spans="1:13">
      <c r="A8">
        <v>3</v>
      </c>
      <c r="B8" s="4">
        <v>45852</v>
      </c>
      <c r="C8" s="14">
        <v>0.96404622206233692</v>
      </c>
      <c r="D8" s="14">
        <v>0.95729638500968794</v>
      </c>
      <c r="E8" s="14">
        <v>1.8088864371244101E-2</v>
      </c>
      <c r="F8" s="14">
        <v>0.50555555555555554</v>
      </c>
      <c r="G8" s="14">
        <v>1.4616359640506669</v>
      </c>
      <c r="H8" s="14">
        <v>1.005555555555556</v>
      </c>
      <c r="I8" s="14">
        <v>2.9414297196025889</v>
      </c>
      <c r="J8" s="14">
        <f t="shared" si="0"/>
        <v>4.2896039786607928E-2</v>
      </c>
      <c r="K8" s="14">
        <f>K9*(1+E9*F9)</f>
        <v>0.95719344443222321</v>
      </c>
      <c r="L8" s="14"/>
      <c r="M8" s="14">
        <f>K8</f>
        <v>0.95719344443222321</v>
      </c>
    </row>
    <row r="9" spans="1:13">
      <c r="A9">
        <v>3.5</v>
      </c>
      <c r="B9" s="4">
        <v>46034</v>
      </c>
      <c r="C9" s="14">
        <v>0.95592389246503651</v>
      </c>
      <c r="D9" s="14">
        <v>0.94796491452005915</v>
      </c>
      <c r="E9" s="14">
        <v>1.9479741902559099E-2</v>
      </c>
      <c r="F9" s="14">
        <v>0.50555555555555554</v>
      </c>
      <c r="G9" s="14">
        <v>0</v>
      </c>
      <c r="H9" s="14"/>
      <c r="I9" s="14"/>
      <c r="J9" s="14">
        <f t="shared" si="0"/>
        <v>5.2310065975705033E-2</v>
      </c>
      <c r="K9" s="14">
        <f>(K10*(G10/100*I10-J9+C10)/C10)</f>
        <v>0.94785884358438732</v>
      </c>
      <c r="L9" s="14"/>
      <c r="M9" s="14"/>
    </row>
    <row r="10" spans="1:13">
      <c r="A10">
        <v>4</v>
      </c>
      <c r="B10" s="4">
        <v>46216</v>
      </c>
      <c r="C10" s="14">
        <v>0.94713494159022615</v>
      </c>
      <c r="D10" s="14">
        <v>0.93807952562658103</v>
      </c>
      <c r="E10" s="14">
        <v>2.0844199194661701E-2</v>
      </c>
      <c r="F10" s="14">
        <v>0.50555555555555554</v>
      </c>
      <c r="G10" s="14">
        <v>1.6050294067149373</v>
      </c>
      <c r="H10" s="14">
        <v>0.99722222222222223</v>
      </c>
      <c r="I10" s="14">
        <v>3.885933730799509</v>
      </c>
      <c r="J10" s="14">
        <f t="shared" si="0"/>
        <v>6.2290879943441235E-2</v>
      </c>
      <c r="K10" s="14">
        <f>K11*(1+E11*F11)</f>
        <v>0.9378966579993524</v>
      </c>
      <c r="L10" s="14"/>
      <c r="M10" s="14">
        <f>K10</f>
        <v>0.9378966579993524</v>
      </c>
    </row>
    <row r="11" spans="1:13">
      <c r="A11">
        <v>4.5</v>
      </c>
      <c r="B11" s="4">
        <v>46399</v>
      </c>
      <c r="C11" s="14">
        <v>0.9377546742182391</v>
      </c>
      <c r="D11" s="14">
        <v>0.92766793341618325</v>
      </c>
      <c r="E11" s="14">
        <v>2.2082122249332401E-2</v>
      </c>
      <c r="F11" s="14">
        <v>0.5083333333333333</v>
      </c>
      <c r="G11" s="14">
        <v>0</v>
      </c>
      <c r="H11" s="14"/>
      <c r="I11" s="14"/>
      <c r="J11" s="14">
        <f t="shared" si="0"/>
        <v>7.2817250066059339E-2</v>
      </c>
      <c r="K11" s="14">
        <f>(K12*(G12/100*I12-J11+C12)/C12)</f>
        <v>0.92748555949876998</v>
      </c>
      <c r="L11" s="14"/>
      <c r="M11" s="14"/>
    </row>
    <row r="12" spans="1:13">
      <c r="A12">
        <v>5</v>
      </c>
      <c r="B12" s="4">
        <v>46580</v>
      </c>
      <c r="C12" s="14">
        <v>0.92824283734542401</v>
      </c>
      <c r="D12" s="14">
        <v>0.91712844122432902</v>
      </c>
      <c r="E12" s="14">
        <v>2.2856695926326401E-2</v>
      </c>
      <c r="F12" s="14">
        <v>0.50277777777777777</v>
      </c>
      <c r="G12" s="14">
        <v>1.7365203359140466</v>
      </c>
      <c r="H12" s="14">
        <v>0.99722222222222223</v>
      </c>
      <c r="I12" s="14">
        <v>4.811598115818974</v>
      </c>
      <c r="J12" s="14">
        <f t="shared" si="0"/>
        <v>8.3484467106331728E-2</v>
      </c>
      <c r="K12" s="14">
        <f>K13*(1+E13*F13)</f>
        <v>0.91687986705109736</v>
      </c>
      <c r="L12" s="14"/>
      <c r="M12" s="14">
        <f>K12</f>
        <v>0.91687986705109736</v>
      </c>
    </row>
    <row r="13" spans="1:13">
      <c r="A13">
        <v>5.5</v>
      </c>
      <c r="B13" s="4">
        <v>46764</v>
      </c>
      <c r="C13" s="14">
        <v>0.9185963965955859</v>
      </c>
      <c r="D13" s="14">
        <v>0.90637502877283138</v>
      </c>
      <c r="E13" s="14">
        <v>2.3212560544255901E-2</v>
      </c>
      <c r="F13" s="14">
        <v>0.51111111111111107</v>
      </c>
      <c r="G13" s="14">
        <v>0</v>
      </c>
      <c r="H13" s="14"/>
      <c r="I13" s="14"/>
      <c r="J13" s="14">
        <f t="shared" si="0"/>
        <v>9.438287628076146E-2</v>
      </c>
      <c r="K13" s="14">
        <f>(K14*(G14/100*I14-J13+C14)/C14)</f>
        <v>0.90612936915386433</v>
      </c>
      <c r="L13" s="14"/>
      <c r="M13" s="14"/>
    </row>
    <row r="14" spans="1:13">
      <c r="A14">
        <v>6</v>
      </c>
      <c r="B14" s="4">
        <v>46946</v>
      </c>
      <c r="C14" s="14">
        <v>0.90901718303320767</v>
      </c>
      <c r="D14" s="14">
        <v>0.89571111788568369</v>
      </c>
      <c r="E14" s="14">
        <v>2.3549389624901301E-2</v>
      </c>
      <c r="F14" s="14">
        <v>0.50555555555555554</v>
      </c>
      <c r="G14" s="14">
        <v>1.841072913872956</v>
      </c>
      <c r="H14" s="14">
        <v>1</v>
      </c>
      <c r="I14" s="14">
        <v>5.7206152988521817</v>
      </c>
      <c r="J14" s="14">
        <f t="shared" si="0"/>
        <v>0.10520520285591206</v>
      </c>
      <c r="K14" s="14">
        <f>K15*(1+E15*F15)</f>
        <v>0.8953559268265634</v>
      </c>
      <c r="L14" s="14"/>
      <c r="M14" s="14">
        <f>K14</f>
        <v>0.8953559268265634</v>
      </c>
    </row>
    <row r="15" spans="1:13">
      <c r="A15">
        <v>6.5</v>
      </c>
      <c r="B15" s="4">
        <v>47130</v>
      </c>
      <c r="C15" s="14">
        <v>0.89917826917514665</v>
      </c>
      <c r="D15" s="14">
        <v>0.88485868785708344</v>
      </c>
      <c r="E15" s="14">
        <v>2.39959391987998E-2</v>
      </c>
      <c r="F15" s="14">
        <v>0.51111111111111107</v>
      </c>
      <c r="G15" s="14">
        <v>0</v>
      </c>
      <c r="H15" s="14"/>
      <c r="I15" s="14"/>
      <c r="J15" s="14">
        <f t="shared" si="0"/>
        <v>0.11623325669476103</v>
      </c>
      <c r="K15" s="14">
        <f>(K16*(G16/100*I16-J15+C16)/C16)</f>
        <v>0.88450780029050546</v>
      </c>
      <c r="L15" s="14"/>
      <c r="M15" s="14"/>
    </row>
    <row r="16" spans="1:13">
      <c r="A16">
        <v>7</v>
      </c>
      <c r="B16" s="4">
        <v>47311</v>
      </c>
      <c r="C16" s="14">
        <v>0.8893123052047649</v>
      </c>
      <c r="D16" s="14">
        <v>0.8740370041426615</v>
      </c>
      <c r="E16" s="14">
        <v>2.4625720319847801E-2</v>
      </c>
      <c r="F16" s="14">
        <v>0.50277777777777777</v>
      </c>
      <c r="G16" s="14">
        <v>1.9276814069571719</v>
      </c>
      <c r="H16" s="14">
        <v>1</v>
      </c>
      <c r="I16" s="14">
        <v>6.6099276040569466</v>
      </c>
      <c r="J16" s="14">
        <f t="shared" si="0"/>
        <v>0.12724406795864956</v>
      </c>
      <c r="K16" s="14">
        <f>K17*(1+E17*F17)</f>
        <v>0.87352131847976189</v>
      </c>
      <c r="L16" s="14"/>
      <c r="M16" s="14">
        <f>K16</f>
        <v>0.87352131847976189</v>
      </c>
    </row>
    <row r="17" spans="1:13">
      <c r="A17">
        <v>7.5</v>
      </c>
      <c r="B17" s="4">
        <v>47497</v>
      </c>
      <c r="C17" s="14">
        <v>0.87897161571716564</v>
      </c>
      <c r="D17" s="14">
        <v>0.86271292715050496</v>
      </c>
      <c r="E17" s="14">
        <v>2.5405401590895899E-2</v>
      </c>
      <c r="F17" s="14">
        <v>0.51666666666666672</v>
      </c>
      <c r="G17" s="14">
        <v>0</v>
      </c>
      <c r="H17" s="14"/>
      <c r="I17" s="14"/>
      <c r="J17" s="14">
        <f t="shared" si="0"/>
        <v>0.13878155851553439</v>
      </c>
      <c r="K17" s="14">
        <f>(K18*(G18/100*I18-J17+C18)/C18)</f>
        <v>0.86220392274265834</v>
      </c>
      <c r="L17" s="14"/>
      <c r="M17" s="14"/>
    </row>
    <row r="18" spans="1:13">
      <c r="A18">
        <v>8</v>
      </c>
      <c r="B18" s="4">
        <v>47676</v>
      </c>
      <c r="C18" s="14">
        <v>0.86884980767765363</v>
      </c>
      <c r="D18" s="14">
        <v>0.85168947472002765</v>
      </c>
      <c r="E18" s="14">
        <v>2.6037552195365E-2</v>
      </c>
      <c r="F18" s="14">
        <v>0.49722222222222218</v>
      </c>
      <c r="G18" s="14">
        <v>2.0093704399544281</v>
      </c>
      <c r="H18" s="14">
        <v>1</v>
      </c>
      <c r="I18" s="14">
        <v>7.4787774117346002</v>
      </c>
      <c r="J18" s="14">
        <f t="shared" si="0"/>
        <v>0.15003007872915611</v>
      </c>
      <c r="K18" s="14">
        <f>K19*(1+E19*F19)</f>
        <v>0.85094600396221021</v>
      </c>
      <c r="L18" s="14"/>
      <c r="M18" s="14">
        <f>K18</f>
        <v>0.85094600396221021</v>
      </c>
    </row>
    <row r="19" spans="1:13">
      <c r="A19">
        <v>8.5</v>
      </c>
      <c r="B19" s="4">
        <v>47861</v>
      </c>
      <c r="C19" s="14">
        <v>0.85822803261302394</v>
      </c>
      <c r="D19" s="14">
        <v>0.84022535250532049</v>
      </c>
      <c r="E19" s="14">
        <v>2.6550689146691599E-2</v>
      </c>
      <c r="F19" s="14">
        <v>0.51388888888888884</v>
      </c>
      <c r="G19" s="14">
        <v>0</v>
      </c>
      <c r="H19" s="14"/>
      <c r="I19" s="14"/>
      <c r="J19" s="14">
        <f t="shared" si="0"/>
        <v>0.16173983138613873</v>
      </c>
      <c r="K19" s="14">
        <f>(K20*(G20/100*I20-J19+C20)/C20)</f>
        <v>0.83949188919726458</v>
      </c>
      <c r="L19" s="14"/>
      <c r="M19" s="14"/>
    </row>
    <row r="20" spans="1:13">
      <c r="A20">
        <v>9</v>
      </c>
      <c r="B20" s="4">
        <v>48043</v>
      </c>
      <c r="C20" s="14">
        <v>0.84757139217307043</v>
      </c>
      <c r="D20" s="14">
        <v>0.82878111312407454</v>
      </c>
      <c r="E20" s="14">
        <v>2.73135531920118E-2</v>
      </c>
      <c r="F20" s="14">
        <v>0.50555555555555554</v>
      </c>
      <c r="G20" s="14">
        <v>2.0871461905058948</v>
      </c>
      <c r="H20" s="14">
        <v>1.005555555555556</v>
      </c>
      <c r="I20" s="14">
        <v>8.3310575338641879</v>
      </c>
      <c r="J20" s="14">
        <f t="shared" si="0"/>
        <v>0.1734435366843462</v>
      </c>
      <c r="K20" s="14">
        <f>K21*(1+E21*F21)</f>
        <v>0.8276359472577659</v>
      </c>
      <c r="L20" s="14"/>
      <c r="M20" s="14">
        <f>K20</f>
        <v>0.8276359472577659</v>
      </c>
    </row>
    <row r="21" spans="1:13">
      <c r="A21">
        <v>9.5</v>
      </c>
      <c r="B21" s="4">
        <v>48225</v>
      </c>
      <c r="C21" s="14">
        <v>0.83669069416023167</v>
      </c>
      <c r="D21" s="14">
        <v>0.81711882271219038</v>
      </c>
      <c r="E21" s="14">
        <v>2.8236771671545199E-2</v>
      </c>
      <c r="F21" s="14">
        <v>0.50555555555555554</v>
      </c>
      <c r="G21" s="14">
        <v>0</v>
      </c>
      <c r="H21" s="14"/>
      <c r="I21" s="14"/>
      <c r="J21" s="14">
        <f t="shared" si="0"/>
        <v>0.18538751119687136</v>
      </c>
      <c r="K21" s="14">
        <f>(K22*(G22/100*I22-J21+C22)/C22)</f>
        <v>0.8159875159308243</v>
      </c>
      <c r="L21" s="14"/>
      <c r="M21" s="14"/>
    </row>
    <row r="22" spans="1:13">
      <c r="A22">
        <v>10</v>
      </c>
      <c r="B22" s="4">
        <v>48407</v>
      </c>
      <c r="C22" s="14">
        <v>0.8257303052243582</v>
      </c>
      <c r="D22" s="14">
        <v>0.80547248666946025</v>
      </c>
      <c r="E22" s="14">
        <v>2.8600242760871801E-2</v>
      </c>
      <c r="F22" s="14">
        <v>0.50555555555555554</v>
      </c>
      <c r="G22" s="14">
        <v>2.1610065260739693</v>
      </c>
      <c r="H22" s="14">
        <v>0.99444444444444446</v>
      </c>
      <c r="I22" s="14">
        <v>9.152200448503967</v>
      </c>
      <c r="J22" s="14">
        <f t="shared" si="0"/>
        <v>0.19732675527344198</v>
      </c>
      <c r="K22" s="14">
        <f>K23*(1+E23*F23)</f>
        <v>0.80392265619070924</v>
      </c>
      <c r="L22" s="14"/>
      <c r="M22" s="14">
        <f>K22</f>
        <v>0.80392265619070924</v>
      </c>
    </row>
    <row r="23" spans="1:13">
      <c r="A23">
        <v>10.5</v>
      </c>
      <c r="B23" s="4">
        <v>48591</v>
      </c>
      <c r="C23" s="14">
        <v>0.8146912703004634</v>
      </c>
      <c r="D23" s="14">
        <v>0.79392771566848708</v>
      </c>
      <c r="E23" s="14">
        <v>2.8450443271989499E-2</v>
      </c>
      <c r="F23" s="14">
        <v>0.51111111111111107</v>
      </c>
      <c r="G23" s="14">
        <v>0</v>
      </c>
      <c r="H23" s="14"/>
      <c r="I23" s="14"/>
      <c r="J23" s="14">
        <f t="shared" si="0"/>
        <v>0.20917345613359695</v>
      </c>
      <c r="K23" s="14">
        <f>(K24*(G24/100*I24-J23+C24)/C24)</f>
        <v>0.79240009878270623</v>
      </c>
      <c r="L23" s="14"/>
      <c r="M23" s="14"/>
    </row>
    <row r="24" spans="1:13">
      <c r="A24">
        <v>11</v>
      </c>
      <c r="B24" s="4">
        <v>48772</v>
      </c>
      <c r="C24" s="14">
        <v>0.8037668893231964</v>
      </c>
      <c r="D24" s="14">
        <v>0.78267545028228147</v>
      </c>
      <c r="E24" s="14">
        <v>2.8594478516200401E-2</v>
      </c>
      <c r="F24" s="14">
        <v>0.50277777777777777</v>
      </c>
      <c r="G24" s="14">
        <v>2.2229171520738862</v>
      </c>
      <c r="H24" s="14">
        <v>1</v>
      </c>
      <c r="I24" s="14">
        <v>9.9559673378271629</v>
      </c>
      <c r="J24" s="14">
        <f t="shared" si="0"/>
        <v>0.22072894614423624</v>
      </c>
      <c r="K24" s="14">
        <f>K25*(1+E25*F25)</f>
        <v>0.78061038652673986</v>
      </c>
      <c r="L24" s="14"/>
      <c r="M24" s="14">
        <f>K24</f>
        <v>0.78061038652673986</v>
      </c>
    </row>
    <row r="25" spans="1:13">
      <c r="A25">
        <v>11.5</v>
      </c>
      <c r="B25" s="4">
        <v>48956</v>
      </c>
      <c r="C25" s="14">
        <v>0.79251290448087985</v>
      </c>
      <c r="D25" s="14">
        <v>0.77121663179798594</v>
      </c>
      <c r="E25" s="14">
        <v>2.90702074422408E-2</v>
      </c>
      <c r="F25" s="14">
        <v>0.51111111111111107</v>
      </c>
      <c r="G25" s="14">
        <v>0</v>
      </c>
      <c r="H25" s="14"/>
      <c r="I25" s="14"/>
      <c r="J25" s="14">
        <f t="shared" si="0"/>
        <v>0.23250418690601346</v>
      </c>
      <c r="K25" s="14">
        <f>(K26*(G26/100*I26-J25+C26)/C26)</f>
        <v>0.76918180176285134</v>
      </c>
      <c r="L25" s="14"/>
      <c r="M25" s="14"/>
    </row>
    <row r="26" spans="1:13">
      <c r="A26">
        <v>12</v>
      </c>
      <c r="B26" s="4">
        <v>49137</v>
      </c>
      <c r="C26" s="14">
        <v>0.78150798192835358</v>
      </c>
      <c r="D26" s="14">
        <v>0.76007457235941267</v>
      </c>
      <c r="E26" s="14">
        <v>2.9156352552981098E-2</v>
      </c>
      <c r="F26" s="14">
        <v>0.50277777777777777</v>
      </c>
      <c r="G26" s="14">
        <v>2.2788919437245272</v>
      </c>
      <c r="H26" s="14">
        <v>1</v>
      </c>
      <c r="I26" s="14">
        <v>10.73747531975552</v>
      </c>
      <c r="J26" s="14">
        <f t="shared" si="0"/>
        <v>0.24396044225650515</v>
      </c>
      <c r="K26" s="14">
        <f>K27*(1+E27*F27)</f>
        <v>0.75736711835345694</v>
      </c>
      <c r="L26" s="14"/>
      <c r="M26" s="14">
        <f>K26</f>
        <v>0.75736711835345694</v>
      </c>
    </row>
    <row r="27" spans="1:13">
      <c r="A27">
        <v>12.5</v>
      </c>
      <c r="B27" s="4">
        <v>49321</v>
      </c>
      <c r="C27" s="14">
        <v>0.77061478256932514</v>
      </c>
      <c r="D27" s="14">
        <v>0.74906175653772222</v>
      </c>
      <c r="E27" s="14">
        <v>2.8765069603566101E-2</v>
      </c>
      <c r="F27" s="14">
        <v>0.51111111111111107</v>
      </c>
      <c r="G27" s="14">
        <v>0</v>
      </c>
      <c r="H27" s="14"/>
      <c r="I27" s="14"/>
      <c r="J27" s="14">
        <f t="shared" si="0"/>
        <v>0.25529013382844523</v>
      </c>
      <c r="K27" s="14">
        <f>(K28*(G28/100*I28-J27+C28)/C28)</f>
        <v>0.74639353117247831</v>
      </c>
      <c r="L27" s="14"/>
      <c r="M27" s="14"/>
    </row>
    <row r="28" spans="1:13">
      <c r="A28">
        <v>13</v>
      </c>
      <c r="B28" s="4">
        <v>49502</v>
      </c>
      <c r="C28" s="14">
        <v>0.76021383187024028</v>
      </c>
      <c r="D28" s="14">
        <v>0.73859675986976769</v>
      </c>
      <c r="E28" s="14">
        <v>2.81809495309472E-2</v>
      </c>
      <c r="F28" s="14">
        <v>0.50277777777777777</v>
      </c>
      <c r="G28" s="14">
        <v>2.321874522228152</v>
      </c>
      <c r="H28" s="14">
        <v>1</v>
      </c>
      <c r="I28" s="14">
        <v>11.49768915162576</v>
      </c>
      <c r="J28" s="14">
        <f t="shared" si="0"/>
        <v>0.26606141749730089</v>
      </c>
      <c r="K28" s="14">
        <f>K29*(1+E29*F29)</f>
        <v>0.73510721898047193</v>
      </c>
      <c r="L28" s="14"/>
      <c r="M28" s="14">
        <f>K28</f>
        <v>0.73510721898047193</v>
      </c>
    </row>
    <row r="29" spans="1:13">
      <c r="A29">
        <v>13.5</v>
      </c>
      <c r="B29" s="4">
        <v>49688</v>
      </c>
      <c r="C29" s="14">
        <v>0.7498602714689413</v>
      </c>
      <c r="D29" s="14">
        <v>0.72826345785213376</v>
      </c>
      <c r="E29" s="14">
        <v>2.7462505736529301E-2</v>
      </c>
      <c r="F29" s="14">
        <v>0.51666666666666672</v>
      </c>
      <c r="G29" s="14">
        <v>0</v>
      </c>
      <c r="H29" s="14"/>
      <c r="I29" s="14"/>
      <c r="J29" s="14">
        <f t="shared" si="0"/>
        <v>0.27670115586748667</v>
      </c>
      <c r="K29" s="14">
        <f>(K30*(G30/100*I30-J29+C30)/C30)</f>
        <v>0.72482273721479573</v>
      </c>
      <c r="L29" s="14"/>
      <c r="M29" s="14"/>
    </row>
    <row r="30" spans="1:13">
      <c r="A30">
        <v>14</v>
      </c>
      <c r="B30" s="4">
        <v>49870</v>
      </c>
      <c r="C30" s="14">
        <v>0.74018567472833596</v>
      </c>
      <c r="D30" s="14">
        <v>0.71863740591193315</v>
      </c>
      <c r="E30" s="14">
        <v>2.6495339851027901E-2</v>
      </c>
      <c r="F30" s="14">
        <v>0.50555555555555554</v>
      </c>
      <c r="G30" s="14">
        <v>2.3508276643430199</v>
      </c>
      <c r="H30" s="14">
        <v>1.005555555555556</v>
      </c>
      <c r="I30" s="14">
        <v>12.241986968991471</v>
      </c>
      <c r="J30" s="14">
        <f t="shared" si="0"/>
        <v>0.28661584398657475</v>
      </c>
      <c r="K30" s="14">
        <f>K31*(1+E31*F31)</f>
        <v>0.71412620809547678</v>
      </c>
      <c r="L30" s="14"/>
      <c r="M30" s="14">
        <f>K30</f>
        <v>0.71412620809547678</v>
      </c>
    </row>
    <row r="31" spans="1:13">
      <c r="A31">
        <v>14.5</v>
      </c>
      <c r="B31" s="4">
        <v>50052</v>
      </c>
      <c r="C31" s="14">
        <v>0.73104788279616695</v>
      </c>
      <c r="D31" s="14">
        <v>0.7095309602972194</v>
      </c>
      <c r="E31" s="14">
        <v>2.5383289016291E-2</v>
      </c>
      <c r="F31" s="14">
        <v>0.50555555555555554</v>
      </c>
      <c r="G31" s="14">
        <v>0</v>
      </c>
      <c r="H31" s="14"/>
      <c r="I31" s="14"/>
      <c r="J31" s="14">
        <f t="shared" si="0"/>
        <v>0.29599713494286589</v>
      </c>
      <c r="K31" s="14">
        <f>(K32*(G32/100*I32-J31+C32)/C32)</f>
        <v>0.70507817760836855</v>
      </c>
      <c r="L31" s="14"/>
      <c r="M31" s="14"/>
    </row>
    <row r="32" spans="1:13">
      <c r="A32">
        <v>15</v>
      </c>
      <c r="B32" s="4">
        <v>50234</v>
      </c>
      <c r="C32" s="14">
        <v>0.72227737271592507</v>
      </c>
      <c r="D32" s="14">
        <v>0.700838160456415</v>
      </c>
      <c r="E32" s="14">
        <v>2.4534264978464001E-2</v>
      </c>
      <c r="F32" s="14">
        <v>0.50555555555555554</v>
      </c>
      <c r="G32" s="14">
        <v>2.3626804696694208</v>
      </c>
      <c r="H32" s="14">
        <v>0.99722222222222223</v>
      </c>
      <c r="I32" s="14">
        <v>12.962258015672081</v>
      </c>
      <c r="J32" s="14">
        <f t="shared" si="0"/>
        <v>0.30495585463711411</v>
      </c>
      <c r="K32" s="14">
        <f>K33*(1+E33*F33)</f>
        <v>0.69520315032899049</v>
      </c>
      <c r="L32" s="14"/>
      <c r="M32" s="14">
        <f>K32</f>
        <v>0.69520315032899049</v>
      </c>
    </row>
    <row r="33" spans="1:13">
      <c r="A33">
        <v>15.5</v>
      </c>
      <c r="B33" s="4">
        <v>50417</v>
      </c>
      <c r="C33" s="14">
        <v>0.71366212197997081</v>
      </c>
      <c r="D33" s="14">
        <v>0.69241736243795082</v>
      </c>
      <c r="E33" s="14">
        <v>2.3922987110430501E-2</v>
      </c>
      <c r="F33" s="14">
        <v>0.5083333333333333</v>
      </c>
      <c r="G33" s="14">
        <v>0</v>
      </c>
      <c r="H33" s="14"/>
      <c r="I33" s="14"/>
      <c r="J33" s="14">
        <f t="shared" si="0"/>
        <v>0.31363459392432319</v>
      </c>
      <c r="K33" s="14">
        <f>(K34*(G34/100*I34-J33+C34)/C34)</f>
        <v>0.68685046364480185</v>
      </c>
      <c r="L33" s="14"/>
      <c r="M33" s="14"/>
    </row>
    <row r="34" spans="1:13">
      <c r="A34">
        <v>16</v>
      </c>
      <c r="B34" s="4">
        <v>50598</v>
      </c>
      <c r="C34" s="14">
        <v>0.70541109112485312</v>
      </c>
      <c r="D34" s="14">
        <v>0.68446812486706743</v>
      </c>
      <c r="E34" s="14">
        <v>2.3099159315272899E-2</v>
      </c>
      <c r="F34" s="14">
        <v>0.50277777777777777</v>
      </c>
      <c r="G34" s="14">
        <v>2.3654780789468792</v>
      </c>
      <c r="H34" s="14">
        <v>0.99722222222222223</v>
      </c>
      <c r="I34" s="14">
        <v>13.6657096315438</v>
      </c>
      <c r="J34" s="14">
        <f t="shared" si="0"/>
        <v>0.32182705774369619</v>
      </c>
      <c r="K34" s="14">
        <f>K35*(1+E35*F35)</f>
        <v>0.67760508271073383</v>
      </c>
      <c r="L34" s="14"/>
      <c r="M34" s="14">
        <f>K34</f>
        <v>0.67760508271073383</v>
      </c>
    </row>
    <row r="35" spans="1:13">
      <c r="A35">
        <v>16.5</v>
      </c>
      <c r="B35" s="4">
        <v>50782</v>
      </c>
      <c r="C35" s="14">
        <v>0.69740868440821069</v>
      </c>
      <c r="D35" s="14">
        <v>0.67685350673892697</v>
      </c>
      <c r="E35" s="14">
        <v>2.2010916327615201E-2</v>
      </c>
      <c r="F35" s="14">
        <v>0.51111111111111107</v>
      </c>
      <c r="G35" s="14">
        <v>0</v>
      </c>
      <c r="H35" s="14"/>
      <c r="I35" s="14"/>
      <c r="J35" s="14">
        <f t="shared" si="0"/>
        <v>0.32967292211190086</v>
      </c>
      <c r="K35" s="14">
        <f>(K36*(G36/100*I36-J35+C36)/C36)</f>
        <v>0.67006681502656473</v>
      </c>
      <c r="L35" s="14"/>
      <c r="M35" s="14"/>
    </row>
    <row r="36" spans="1:13">
      <c r="A36">
        <v>17</v>
      </c>
      <c r="B36" s="4">
        <v>50963</v>
      </c>
      <c r="C36" s="14">
        <v>0.68996315335641056</v>
      </c>
      <c r="D36" s="14">
        <v>0.66981104102760358</v>
      </c>
      <c r="E36" s="14">
        <v>2.0912038267508801E-2</v>
      </c>
      <c r="F36" s="14">
        <v>0.50277777777777777</v>
      </c>
      <c r="G36" s="14">
        <v>2.3581911778690472</v>
      </c>
      <c r="H36" s="14">
        <v>1</v>
      </c>
      <c r="I36" s="14">
        <v>14.355672784900211</v>
      </c>
      <c r="J36" s="14">
        <f t="shared" ref="J36:J67" si="1">J35+(E36*F36*C36)</f>
        <v>0.33692726931127592</v>
      </c>
      <c r="K36" s="14">
        <f>K37*(1+E37*F37)</f>
        <v>0.66157018263792378</v>
      </c>
      <c r="L36" s="14"/>
      <c r="M36" s="14">
        <f>K36</f>
        <v>0.66157018263792378</v>
      </c>
    </row>
    <row r="37" spans="1:13">
      <c r="A37">
        <v>17.5</v>
      </c>
      <c r="B37" s="4">
        <v>51147</v>
      </c>
      <c r="C37" s="14">
        <v>0.68282994441576605</v>
      </c>
      <c r="D37" s="14">
        <v>0.66306691465186141</v>
      </c>
      <c r="E37" s="14">
        <v>1.9899997381878601E-2</v>
      </c>
      <c r="F37" s="14">
        <v>0.51111111111111107</v>
      </c>
      <c r="G37" s="14">
        <v>0</v>
      </c>
      <c r="H37" s="14"/>
      <c r="I37" s="14"/>
      <c r="J37" s="14">
        <f t="shared" si="1"/>
        <v>0.34387240763219296</v>
      </c>
      <c r="K37" s="14">
        <f>(K38*(G38/100*I38-J37+C38)/C38)</f>
        <v>0.65490903099239706</v>
      </c>
      <c r="L37" s="14"/>
      <c r="M37" s="14"/>
    </row>
    <row r="38" spans="1:13">
      <c r="A38">
        <v>18</v>
      </c>
      <c r="B38" s="4">
        <v>51329</v>
      </c>
      <c r="C38" s="14">
        <v>0.67609185802575111</v>
      </c>
      <c r="D38" s="14">
        <v>0.65673579124496839</v>
      </c>
      <c r="E38" s="14">
        <v>1.90687052713602E-2</v>
      </c>
      <c r="F38" s="14">
        <v>0.50555555555555554</v>
      </c>
      <c r="G38" s="14">
        <v>2.342808256949179</v>
      </c>
      <c r="H38" s="14">
        <v>1</v>
      </c>
      <c r="I38" s="14">
        <v>15.031764642925969</v>
      </c>
      <c r="J38" s="14">
        <f t="shared" si="1"/>
        <v>0.35039012913392853</v>
      </c>
      <c r="K38" s="14">
        <f>K39*(1+E39*F39)</f>
        <v>0.64697318814756033</v>
      </c>
      <c r="L38" s="14"/>
      <c r="M38" s="14">
        <f>K38</f>
        <v>0.64697318814756033</v>
      </c>
    </row>
    <row r="39" spans="1:13">
      <c r="A39">
        <v>18.5</v>
      </c>
      <c r="B39" s="4">
        <v>51515</v>
      </c>
      <c r="C39" s="14">
        <v>0.66942332733091914</v>
      </c>
      <c r="D39" s="14">
        <v>0.65055591075883357</v>
      </c>
      <c r="E39" s="14">
        <v>1.8385904743329899E-2</v>
      </c>
      <c r="F39" s="14">
        <v>0.51666666666666672</v>
      </c>
      <c r="G39" s="14">
        <v>0</v>
      </c>
      <c r="H39" s="14"/>
      <c r="I39" s="14"/>
      <c r="J39" s="14">
        <f t="shared" si="1"/>
        <v>0.35674923845738432</v>
      </c>
      <c r="K39" s="14">
        <f>(K40*(G40/100*I40-J39+C40)/C40)</f>
        <v>0.64088517370737563</v>
      </c>
      <c r="L39" s="14"/>
      <c r="M39" s="14"/>
    </row>
    <row r="40" spans="1:13">
      <c r="A40">
        <v>19</v>
      </c>
      <c r="B40" s="4">
        <v>51694</v>
      </c>
      <c r="C40" s="14">
        <v>0.66324213984716596</v>
      </c>
      <c r="D40" s="14">
        <v>0.6449111569909729</v>
      </c>
      <c r="E40" s="14">
        <v>1.75973078822565E-2</v>
      </c>
      <c r="F40" s="14">
        <v>0.49722222222222218</v>
      </c>
      <c r="G40" s="14">
        <v>2.3223555508453133</v>
      </c>
      <c r="H40" s="14">
        <v>1</v>
      </c>
      <c r="I40" s="14">
        <v>15.695006782773129</v>
      </c>
      <c r="J40" s="14">
        <f t="shared" si="1"/>
        <v>0.36255245631358574</v>
      </c>
      <c r="K40" s="14">
        <f>K41*(1+E41*F41)</f>
        <v>0.63348798767563186</v>
      </c>
      <c r="L40" s="14"/>
      <c r="M40" s="14">
        <f>K40</f>
        <v>0.63348798767563186</v>
      </c>
    </row>
    <row r="41" spans="1:13">
      <c r="A41">
        <v>19.5</v>
      </c>
      <c r="B41" s="4">
        <v>51879</v>
      </c>
      <c r="C41" s="14">
        <v>0.65713526584249904</v>
      </c>
      <c r="D41" s="14">
        <v>0.63940852927721736</v>
      </c>
      <c r="E41" s="14">
        <v>1.6746439250249601E-2</v>
      </c>
      <c r="F41" s="14">
        <v>0.51388888888888884</v>
      </c>
      <c r="G41" s="14">
        <v>0</v>
      </c>
      <c r="H41" s="14"/>
      <c r="I41" s="14"/>
      <c r="J41" s="14">
        <f t="shared" si="1"/>
        <v>0.36820763693746406</v>
      </c>
      <c r="K41" s="14">
        <f>(K42*(G42/100*I42-J41+C42)/C42)</f>
        <v>0.62808282679489991</v>
      </c>
      <c r="L41" s="14"/>
      <c r="M41" s="14"/>
    </row>
    <row r="42" spans="1:13">
      <c r="A42">
        <v>20</v>
      </c>
      <c r="B42" s="4">
        <v>52061</v>
      </c>
      <c r="C42" s="14">
        <v>0.65135462223894658</v>
      </c>
      <c r="D42" s="14">
        <v>0.63424325968494244</v>
      </c>
      <c r="E42" s="14">
        <v>1.6108987553141298E-2</v>
      </c>
      <c r="F42" s="14">
        <v>0.50555555555555554</v>
      </c>
      <c r="G42" s="14">
        <v>2.2978320620548693</v>
      </c>
      <c r="H42" s="14">
        <v>1.005555555555556</v>
      </c>
      <c r="I42" s="14">
        <v>16.34998004180229</v>
      </c>
      <c r="J42" s="14">
        <f t="shared" si="1"/>
        <v>0.37351226126364112</v>
      </c>
      <c r="K42" s="15">
        <f t="shared" ref="K42:K60" si="2">K43*(1+E43*F43)</f>
        <v>0.62094494527508237</v>
      </c>
      <c r="L42" s="15">
        <v>0.62094494527508104</v>
      </c>
      <c r="M42" s="14">
        <f>K42</f>
        <v>0.62094494527508237</v>
      </c>
    </row>
    <row r="43" spans="1:13">
      <c r="A43">
        <v>20.5</v>
      </c>
      <c r="B43" s="4">
        <v>52243</v>
      </c>
      <c r="C43" s="14">
        <v>0.64573914209288952</v>
      </c>
      <c r="D43" s="14">
        <v>0.62923895877524105</v>
      </c>
      <c r="E43" s="14">
        <v>1.57299670783482E-2</v>
      </c>
      <c r="F43" s="14">
        <v>0.50555555555555554</v>
      </c>
      <c r="G43" s="14">
        <v>0</v>
      </c>
      <c r="H43" s="14"/>
      <c r="I43" s="14"/>
      <c r="J43" s="14">
        <f t="shared" si="1"/>
        <v>0.37864741929483725</v>
      </c>
      <c r="K43" s="14">
        <f t="shared" si="2"/>
        <v>0.61604591880860171</v>
      </c>
      <c r="L43" s="14"/>
      <c r="M43" s="14"/>
    </row>
    <row r="44" spans="1:13">
      <c r="A44">
        <v>21</v>
      </c>
      <c r="B44" s="4">
        <v>52425</v>
      </c>
      <c r="C44" s="14">
        <v>0.6402741031535254</v>
      </c>
      <c r="D44" s="14">
        <v>0.62437792638072032</v>
      </c>
      <c r="E44" s="14">
        <v>1.53996938488435E-2</v>
      </c>
      <c r="F44" s="14">
        <v>0.50555555555555554</v>
      </c>
      <c r="G44" s="14">
        <v>0</v>
      </c>
      <c r="H44" s="14"/>
      <c r="I44" s="14"/>
      <c r="J44" s="14">
        <f t="shared" si="1"/>
        <v>0.38363220979639029</v>
      </c>
      <c r="K44" s="14">
        <f t="shared" si="2"/>
        <v>0.61128680603263863</v>
      </c>
      <c r="L44" s="14"/>
      <c r="M44" s="14"/>
    </row>
    <row r="45" spans="1:13">
      <c r="A45">
        <v>21.5</v>
      </c>
      <c r="B45" s="4">
        <v>52608</v>
      </c>
      <c r="C45" s="14">
        <v>0.634927113266328</v>
      </c>
      <c r="D45" s="14">
        <v>0.61963339874338974</v>
      </c>
      <c r="E45" s="14">
        <v>1.5062316009954399E-2</v>
      </c>
      <c r="F45" s="14">
        <v>0.5083333333333333</v>
      </c>
      <c r="G45" s="14">
        <v>0</v>
      </c>
      <c r="H45" s="14"/>
      <c r="I45" s="14"/>
      <c r="J45" s="14">
        <f t="shared" si="1"/>
        <v>0.38849364181490392</v>
      </c>
      <c r="K45" s="14">
        <f t="shared" si="2"/>
        <v>0.60664194442446628</v>
      </c>
      <c r="L45" s="14"/>
      <c r="M45" s="14"/>
    </row>
    <row r="46" spans="1:13">
      <c r="A46">
        <v>22</v>
      </c>
      <c r="B46" s="4">
        <v>52790</v>
      </c>
      <c r="C46" s="14">
        <v>0.62975313698155089</v>
      </c>
      <c r="D46" s="14">
        <v>0.61505604443203954</v>
      </c>
      <c r="E46" s="14">
        <v>1.47207844081999E-2</v>
      </c>
      <c r="F46" s="14">
        <v>0.50555555555555554</v>
      </c>
      <c r="G46" s="14">
        <v>0</v>
      </c>
      <c r="H46" s="14"/>
      <c r="I46" s="14"/>
      <c r="J46" s="14">
        <f t="shared" si="1"/>
        <v>0.39318037445129428</v>
      </c>
      <c r="K46" s="14">
        <f t="shared" si="2"/>
        <v>0.60216056055234357</v>
      </c>
      <c r="L46" s="14"/>
      <c r="M46" s="14"/>
    </row>
    <row r="47" spans="1:13">
      <c r="A47">
        <v>22.5</v>
      </c>
      <c r="B47" s="4">
        <v>52974</v>
      </c>
      <c r="C47" s="14">
        <v>0.6246646569460953</v>
      </c>
      <c r="D47" s="14">
        <v>0.61057042362918235</v>
      </c>
      <c r="E47" s="14">
        <v>1.4373795838521899E-2</v>
      </c>
      <c r="F47" s="14">
        <v>0.51111111111111107</v>
      </c>
      <c r="G47" s="14">
        <v>0</v>
      </c>
      <c r="H47" s="14"/>
      <c r="I47" s="14"/>
      <c r="J47" s="14">
        <f t="shared" si="1"/>
        <v>0.39776954004394138</v>
      </c>
      <c r="K47" s="14">
        <f t="shared" si="2"/>
        <v>0.59776898687133384</v>
      </c>
      <c r="L47" s="14"/>
      <c r="M47" s="14"/>
    </row>
    <row r="48" spans="1:13">
      <c r="A48">
        <v>23</v>
      </c>
      <c r="B48" s="4">
        <v>53155</v>
      </c>
      <c r="C48" s="14">
        <v>0.61979555389178442</v>
      </c>
      <c r="D48" s="14">
        <v>0.60629619276544222</v>
      </c>
      <c r="E48" s="14">
        <v>1.40215834415629E-2</v>
      </c>
      <c r="F48" s="14">
        <v>0.50277777777777777</v>
      </c>
      <c r="G48" s="14">
        <v>0</v>
      </c>
      <c r="H48" s="14"/>
      <c r="I48" s="14"/>
      <c r="J48" s="14">
        <f t="shared" si="1"/>
        <v>0.40213893790139749</v>
      </c>
      <c r="K48" s="14">
        <f t="shared" si="2"/>
        <v>0.59358437105275985</v>
      </c>
      <c r="L48" s="14"/>
      <c r="M48" s="14"/>
    </row>
    <row r="49" spans="1:13">
      <c r="A49">
        <v>23.5</v>
      </c>
      <c r="B49" s="4">
        <v>53339</v>
      </c>
      <c r="C49" s="14">
        <v>0.61498122338346772</v>
      </c>
      <c r="D49" s="14">
        <v>0.60209061125679897</v>
      </c>
      <c r="E49" s="14">
        <v>1.36662347718224E-2</v>
      </c>
      <c r="F49" s="14">
        <v>0.51111111111111107</v>
      </c>
      <c r="G49" s="14">
        <v>0</v>
      </c>
      <c r="H49" s="14"/>
      <c r="I49" s="14"/>
      <c r="J49" s="14">
        <f t="shared" si="1"/>
        <v>0.40643455987734156</v>
      </c>
      <c r="K49" s="14">
        <f t="shared" si="2"/>
        <v>0.58946696526247655</v>
      </c>
      <c r="L49" s="14"/>
      <c r="M49" s="14"/>
    </row>
    <row r="50" spans="1:13">
      <c r="A50">
        <v>24</v>
      </c>
      <c r="B50" s="4">
        <v>53520</v>
      </c>
      <c r="C50" s="14">
        <v>0.61037562509683041</v>
      </c>
      <c r="D50" s="14">
        <v>0.59808983719780817</v>
      </c>
      <c r="E50" s="14">
        <v>1.3304591007762099E-2</v>
      </c>
      <c r="F50" s="14">
        <v>0.50277777777777777</v>
      </c>
      <c r="G50" s="14">
        <v>0</v>
      </c>
      <c r="H50" s="14"/>
      <c r="I50" s="14"/>
      <c r="J50" s="14">
        <f t="shared" si="1"/>
        <v>0.41051751667622127</v>
      </c>
      <c r="K50" s="14">
        <f t="shared" si="2"/>
        <v>0.58555007285598082</v>
      </c>
      <c r="L50" s="14"/>
      <c r="M50" s="14"/>
    </row>
    <row r="51" spans="1:13">
      <c r="A51">
        <v>24.5</v>
      </c>
      <c r="B51" s="4">
        <v>53706</v>
      </c>
      <c r="C51" s="14">
        <v>0.60577431036681406</v>
      </c>
      <c r="D51" s="14">
        <v>0.59411834436985755</v>
      </c>
      <c r="E51" s="14">
        <v>1.29380962311729E-2</v>
      </c>
      <c r="F51" s="14">
        <v>0.51666666666666672</v>
      </c>
      <c r="G51" s="14">
        <v>0</v>
      </c>
      <c r="H51" s="14"/>
      <c r="I51" s="14"/>
      <c r="J51" s="14">
        <f t="shared" si="1"/>
        <v>0.41456692594253536</v>
      </c>
      <c r="K51" s="14">
        <f t="shared" si="2"/>
        <v>0.58166184775981633</v>
      </c>
      <c r="L51" s="14"/>
      <c r="M51" s="14"/>
    </row>
    <row r="52" spans="1:13">
      <c r="A52">
        <v>25</v>
      </c>
      <c r="B52" s="4">
        <v>53885</v>
      </c>
      <c r="C52" s="14">
        <v>0.60146922482722898</v>
      </c>
      <c r="D52" s="14">
        <v>0.59042925412809355</v>
      </c>
      <c r="E52" s="14">
        <v>1.2563696621126301E-2</v>
      </c>
      <c r="F52" s="14">
        <v>0.49722222222222218</v>
      </c>
      <c r="G52" s="14">
        <v>2.1509999999999998</v>
      </c>
      <c r="H52" s="14">
        <v>1.002777777777778</v>
      </c>
      <c r="I52" s="14">
        <v>20.04276006411229</v>
      </c>
      <c r="J52" s="14">
        <f t="shared" si="1"/>
        <v>0.41832427360729513</v>
      </c>
      <c r="K52" s="14">
        <f t="shared" si="2"/>
        <v>0.57805079384266678</v>
      </c>
      <c r="L52" s="14"/>
      <c r="M52" s="14">
        <f>K52</f>
        <v>0.57805079384266678</v>
      </c>
    </row>
    <row r="53" spans="1:13">
      <c r="A53">
        <v>25.5</v>
      </c>
      <c r="B53" s="4">
        <v>54070</v>
      </c>
      <c r="C53" s="14">
        <v>0.59714179724358019</v>
      </c>
      <c r="D53" s="14">
        <v>0.58675019054605404</v>
      </c>
      <c r="E53" s="14">
        <v>1.22015450147267E-2</v>
      </c>
      <c r="F53" s="14">
        <v>0.51388888888888884</v>
      </c>
      <c r="G53" s="14">
        <v>0</v>
      </c>
      <c r="H53" s="14"/>
      <c r="I53" s="14"/>
      <c r="J53" s="14">
        <f t="shared" si="1"/>
        <v>0.42206849504079469</v>
      </c>
      <c r="K53" s="14">
        <f t="shared" si="2"/>
        <v>0.57444886252011373</v>
      </c>
      <c r="L53" s="14"/>
      <c r="M53" s="14"/>
    </row>
    <row r="54" spans="1:13">
      <c r="A54">
        <v>26</v>
      </c>
      <c r="B54" s="4">
        <v>54252</v>
      </c>
      <c r="C54" s="14">
        <v>0.59299302894571138</v>
      </c>
      <c r="D54" s="14">
        <v>0.58325070461122197</v>
      </c>
      <c r="E54" s="14">
        <v>1.1868069830263801E-2</v>
      </c>
      <c r="F54" s="14">
        <v>0.50555555555555554</v>
      </c>
      <c r="G54" s="14">
        <v>0</v>
      </c>
      <c r="H54" s="14"/>
      <c r="I54" s="14"/>
      <c r="J54" s="14">
        <f t="shared" si="1"/>
        <v>0.42562643461607941</v>
      </c>
      <c r="K54" s="14">
        <f t="shared" si="2"/>
        <v>0.57102274396564245</v>
      </c>
      <c r="L54" s="14"/>
      <c r="M54" s="14"/>
    </row>
    <row r="55" spans="1:13">
      <c r="A55">
        <v>26.5</v>
      </c>
      <c r="B55" s="4">
        <v>54435</v>
      </c>
      <c r="C55" s="14">
        <v>0.58891583250939061</v>
      </c>
      <c r="D55" s="14">
        <v>0.57983716615897962</v>
      </c>
      <c r="E55" s="14">
        <v>1.15805884799351E-2</v>
      </c>
      <c r="F55" s="14">
        <v>0.5083333333333333</v>
      </c>
      <c r="G55" s="14">
        <v>0</v>
      </c>
      <c r="H55" s="14"/>
      <c r="I55" s="14"/>
      <c r="J55" s="14">
        <f t="shared" si="1"/>
        <v>0.42909326383476432</v>
      </c>
      <c r="K55" s="14">
        <f t="shared" si="2"/>
        <v>0.56768092040933038</v>
      </c>
      <c r="L55" s="14"/>
      <c r="M55" s="14"/>
    </row>
    <row r="56" spans="1:13">
      <c r="A56">
        <v>27</v>
      </c>
      <c r="B56" s="4">
        <v>54616</v>
      </c>
      <c r="C56" s="14">
        <v>0.58496282841536662</v>
      </c>
      <c r="D56" s="14">
        <v>0.57655059372333639</v>
      </c>
      <c r="E56" s="14">
        <v>1.13378239913883E-2</v>
      </c>
      <c r="F56" s="14">
        <v>0.50277777777777777</v>
      </c>
      <c r="G56" s="14">
        <v>0</v>
      </c>
      <c r="H56" s="14"/>
      <c r="I56" s="14"/>
      <c r="J56" s="14">
        <f t="shared" si="1"/>
        <v>0.43242778942310917</v>
      </c>
      <c r="K56" s="14">
        <f t="shared" si="2"/>
        <v>0.56446325073558901</v>
      </c>
      <c r="L56" s="14"/>
      <c r="M56" s="14"/>
    </row>
    <row r="57" spans="1:13">
      <c r="A57">
        <v>27.5</v>
      </c>
      <c r="B57" s="4">
        <v>54800</v>
      </c>
      <c r="C57" s="14">
        <v>0.58101208887308553</v>
      </c>
      <c r="D57" s="14">
        <v>0.57328687722651306</v>
      </c>
      <c r="E57" s="14">
        <v>1.1138458824115899E-2</v>
      </c>
      <c r="F57" s="14">
        <v>0.51111111111111107</v>
      </c>
      <c r="G57" s="14">
        <v>0</v>
      </c>
      <c r="H57" s="14"/>
      <c r="I57" s="14"/>
      <c r="J57" s="14">
        <f t="shared" si="1"/>
        <v>0.43573548547309154</v>
      </c>
      <c r="K57" s="14">
        <f t="shared" si="2"/>
        <v>0.56126795782750416</v>
      </c>
      <c r="L57" s="14"/>
      <c r="M57" s="14"/>
    </row>
    <row r="58" spans="1:13">
      <c r="A58">
        <v>28</v>
      </c>
      <c r="B58" s="4">
        <v>54981</v>
      </c>
      <c r="C58" s="14">
        <v>0.57717966116032426</v>
      </c>
      <c r="D58" s="14">
        <v>0.57013896952900966</v>
      </c>
      <c r="E58" s="14">
        <v>1.09815890846915E-2</v>
      </c>
      <c r="F58" s="14">
        <v>0.50277777777777777</v>
      </c>
      <c r="G58" s="14">
        <v>0</v>
      </c>
      <c r="H58" s="14"/>
      <c r="I58" s="14"/>
      <c r="J58" s="14">
        <f t="shared" si="1"/>
        <v>0.4389222669339517</v>
      </c>
      <c r="K58" s="14">
        <f t="shared" si="2"/>
        <v>0.55818604579533826</v>
      </c>
      <c r="L58" s="14"/>
      <c r="M58" s="14"/>
    </row>
    <row r="59" spans="1:13">
      <c r="A59">
        <v>28.5</v>
      </c>
      <c r="B59" s="4">
        <v>55165</v>
      </c>
      <c r="C59" s="14">
        <v>0.57332577765484094</v>
      </c>
      <c r="D59" s="14">
        <v>0.56698905422546453</v>
      </c>
      <c r="E59" s="14">
        <v>1.0869482791382201E-2</v>
      </c>
      <c r="F59" s="14">
        <v>0.51111111111111107</v>
      </c>
      <c r="G59" s="14">
        <v>0</v>
      </c>
      <c r="H59" s="14"/>
      <c r="I59" s="14"/>
      <c r="J59" s="14">
        <f t="shared" si="1"/>
        <v>0.4421073859895901</v>
      </c>
      <c r="K59" s="14">
        <f t="shared" si="2"/>
        <v>0.5551021682464512</v>
      </c>
      <c r="L59" s="14"/>
      <c r="M59" s="14"/>
    </row>
    <row r="60" spans="1:13">
      <c r="A60">
        <v>29</v>
      </c>
      <c r="B60" s="4">
        <v>55346</v>
      </c>
      <c r="C60" s="14">
        <v>0.56956397983013385</v>
      </c>
      <c r="D60" s="14">
        <v>0.56392695819486949</v>
      </c>
      <c r="E60" s="14">
        <v>1.07999035290495E-2</v>
      </c>
      <c r="F60" s="14">
        <v>0.50277777777777777</v>
      </c>
      <c r="G60" s="14">
        <v>0</v>
      </c>
      <c r="H60" s="14"/>
      <c r="I60" s="14"/>
      <c r="J60" s="14">
        <f t="shared" si="1"/>
        <v>0.44520009077424966</v>
      </c>
      <c r="K60" s="14">
        <f t="shared" si="2"/>
        <v>0.5521042688455815</v>
      </c>
      <c r="L60" s="14"/>
      <c r="M60" s="14"/>
    </row>
    <row r="61" spans="1:13">
      <c r="A61">
        <v>29.5</v>
      </c>
      <c r="B61" s="4">
        <v>55530</v>
      </c>
      <c r="C61" s="14">
        <v>0.56575749067846093</v>
      </c>
      <c r="D61" s="14">
        <v>0.56083828488264831</v>
      </c>
      <c r="E61" s="14">
        <v>1.0775042723228601E-2</v>
      </c>
      <c r="F61" s="14">
        <v>0.51111111111111107</v>
      </c>
      <c r="G61" s="14">
        <v>0</v>
      </c>
      <c r="H61" s="14"/>
      <c r="I61" s="14"/>
      <c r="J61" s="14">
        <f t="shared" si="1"/>
        <v>0.4483158553533626</v>
      </c>
      <c r="K61" s="14">
        <f>(K62*(G62/100*I62-J61+C62)/C62)</f>
        <v>0.54908034935394145</v>
      </c>
      <c r="L61" s="14"/>
      <c r="M61" s="14"/>
    </row>
    <row r="62" spans="1:13">
      <c r="A62">
        <v>30</v>
      </c>
      <c r="B62" s="4">
        <v>55712</v>
      </c>
      <c r="C62" s="14">
        <v>0.56199826955425991</v>
      </c>
      <c r="D62" s="14">
        <v>0.55779469673686044</v>
      </c>
      <c r="E62" s="14">
        <v>1.0793010904611801E-2</v>
      </c>
      <c r="F62" s="14">
        <v>0.50555555555555554</v>
      </c>
      <c r="G62" s="14">
        <v>2.0099856207236559</v>
      </c>
      <c r="H62" s="14">
        <v>1</v>
      </c>
      <c r="I62" s="14">
        <v>22.334839906326771</v>
      </c>
      <c r="J62" s="14">
        <f t="shared" si="1"/>
        <v>0.45138238015393017</v>
      </c>
      <c r="K62" s="14">
        <f t="shared" ref="K62:K70" si="3">K63*(1+E63*F63)</f>
        <v>0.54848383214053154</v>
      </c>
      <c r="L62" s="14"/>
      <c r="M62" s="14">
        <f>K62</f>
        <v>0.54848383214053154</v>
      </c>
    </row>
    <row r="63" spans="1:13">
      <c r="A63">
        <v>30.5</v>
      </c>
      <c r="B63" s="4">
        <v>55897</v>
      </c>
      <c r="C63" s="14">
        <v>0.55817405862420799</v>
      </c>
      <c r="D63" s="14">
        <v>0.55470287369725568</v>
      </c>
      <c r="E63" s="14">
        <v>1.0846384244233899E-2</v>
      </c>
      <c r="F63" s="14">
        <v>0.51388888888888884</v>
      </c>
      <c r="G63" s="14">
        <v>0</v>
      </c>
      <c r="H63" s="14"/>
      <c r="I63" s="14"/>
      <c r="J63" s="14">
        <f t="shared" si="1"/>
        <v>0.45449355101025046</v>
      </c>
      <c r="K63" s="14">
        <f t="shared" si="3"/>
        <v>0.54544361867313307</v>
      </c>
      <c r="L63" s="14"/>
      <c r="M63" s="14"/>
    </row>
    <row r="64" spans="1:13">
      <c r="A64">
        <v>31</v>
      </c>
      <c r="B64" s="4">
        <v>56079</v>
      </c>
      <c r="C64" s="14">
        <v>0.55441017461360897</v>
      </c>
      <c r="D64" s="14">
        <v>0.55166414272305053</v>
      </c>
      <c r="E64" s="14">
        <v>1.08955362271776E-2</v>
      </c>
      <c r="F64" s="14">
        <v>0.50555555555555554</v>
      </c>
      <c r="G64" s="14">
        <v>0</v>
      </c>
      <c r="H64" s="14"/>
      <c r="I64" s="14"/>
      <c r="J64" s="14">
        <f t="shared" si="1"/>
        <v>0.45754740794881643</v>
      </c>
      <c r="K64" s="14">
        <f t="shared" si="3"/>
        <v>0.54245561104357609</v>
      </c>
      <c r="L64" s="14"/>
      <c r="M64" s="14"/>
    </row>
    <row r="65" spans="1:13">
      <c r="A65">
        <v>31.5</v>
      </c>
      <c r="B65" s="4">
        <v>56261</v>
      </c>
      <c r="C65" s="14">
        <v>0.55064827385461712</v>
      </c>
      <c r="D65" s="14">
        <v>0.5486319065880878</v>
      </c>
      <c r="E65" s="14">
        <v>1.0932826565357399E-2</v>
      </c>
      <c r="F65" s="14">
        <v>0.50555555555555554</v>
      </c>
      <c r="G65" s="14">
        <v>0</v>
      </c>
      <c r="H65" s="14"/>
      <c r="I65" s="14"/>
      <c r="J65" s="14">
        <f t="shared" si="1"/>
        <v>0.46059092422085812</v>
      </c>
      <c r="K65" s="14">
        <f t="shared" si="3"/>
        <v>0.53947385746060583</v>
      </c>
      <c r="L65" s="14"/>
      <c r="M65" s="14"/>
    </row>
    <row r="66" spans="1:13">
      <c r="A66">
        <v>32</v>
      </c>
      <c r="B66" s="4">
        <v>56443</v>
      </c>
      <c r="C66" s="14">
        <v>0.546891901283866</v>
      </c>
      <c r="D66" s="14">
        <v>0.54560963384076011</v>
      </c>
      <c r="E66" s="14">
        <v>1.0956774856977301E-2</v>
      </c>
      <c r="F66" s="14">
        <v>0.50555555555555554</v>
      </c>
      <c r="G66" s="14">
        <v>0</v>
      </c>
      <c r="H66" s="14"/>
      <c r="I66" s="14"/>
      <c r="J66" s="14">
        <f t="shared" si="1"/>
        <v>0.46362029977889097</v>
      </c>
      <c r="K66" s="14">
        <f t="shared" si="3"/>
        <v>0.53650203406185648</v>
      </c>
      <c r="L66" s="14"/>
      <c r="M66" s="14"/>
    </row>
    <row r="67" spans="1:13">
      <c r="A67">
        <v>32.5</v>
      </c>
      <c r="B67" s="4">
        <v>56626</v>
      </c>
      <c r="C67" s="14">
        <v>0.5431239515609213</v>
      </c>
      <c r="D67" s="14">
        <v>0.54258422783504157</v>
      </c>
      <c r="E67" s="14">
        <v>1.09691991996723E-2</v>
      </c>
      <c r="F67" s="14">
        <v>0.5083333333333333</v>
      </c>
      <c r="G67" s="14">
        <v>0</v>
      </c>
      <c r="H67" s="14"/>
      <c r="I67" s="14"/>
      <c r="J67" s="14">
        <f t="shared" si="1"/>
        <v>0.46664876414307332</v>
      </c>
      <c r="K67" s="14">
        <f t="shared" si="3"/>
        <v>0.53352708193477394</v>
      </c>
      <c r="L67" s="14"/>
      <c r="M67" s="14"/>
    </row>
    <row r="68" spans="1:13">
      <c r="A68">
        <v>33</v>
      </c>
      <c r="B68" s="4">
        <v>56807</v>
      </c>
      <c r="C68" s="14">
        <v>0.53940946446737725</v>
      </c>
      <c r="D68" s="14">
        <v>0.53960847472234175</v>
      </c>
      <c r="E68" s="14">
        <v>1.0968369202468299E-2</v>
      </c>
      <c r="F68" s="14">
        <v>0.50277777777777777</v>
      </c>
      <c r="G68" s="14">
        <v>0</v>
      </c>
      <c r="H68" s="14"/>
      <c r="I68" s="14"/>
      <c r="J68" s="14">
        <f t="shared" ref="J68:J99" si="4">J67+(E68*F68*C68)</f>
        <v>0.4696234197834141</v>
      </c>
      <c r="K68" s="14">
        <f t="shared" si="3"/>
        <v>0.5306010019027172</v>
      </c>
      <c r="L68" s="14"/>
      <c r="M68" s="14"/>
    </row>
    <row r="69" spans="1:13">
      <c r="A69">
        <v>33.5</v>
      </c>
      <c r="B69" s="4">
        <v>56991</v>
      </c>
      <c r="C69" s="14">
        <v>0.53564926141067259</v>
      </c>
      <c r="D69" s="14">
        <v>0.53660360945520758</v>
      </c>
      <c r="E69" s="14">
        <v>1.0956102632769599E-2</v>
      </c>
      <c r="F69" s="14">
        <v>0.51111111111111107</v>
      </c>
      <c r="G69" s="14">
        <v>0</v>
      </c>
      <c r="H69" s="14"/>
      <c r="I69" s="14"/>
      <c r="J69" s="14">
        <f t="shared" si="4"/>
        <v>0.47262294090592966</v>
      </c>
      <c r="K69" s="14">
        <f t="shared" si="3"/>
        <v>0.52764629567401233</v>
      </c>
      <c r="L69" s="14"/>
      <c r="M69" s="14"/>
    </row>
    <row r="70" spans="1:13">
      <c r="A70">
        <v>34</v>
      </c>
      <c r="B70" s="4">
        <v>57173</v>
      </c>
      <c r="C70" s="14">
        <v>0.53194885680512016</v>
      </c>
      <c r="D70" s="14">
        <v>0.53365464410213215</v>
      </c>
      <c r="E70" s="14">
        <v>1.0930511605727E-2</v>
      </c>
      <c r="F70" s="14">
        <v>0.50555555555555554</v>
      </c>
      <c r="G70" s="14">
        <v>0</v>
      </c>
      <c r="H70" s="14"/>
      <c r="I70" s="14"/>
      <c r="J70" s="14">
        <f t="shared" si="4"/>
        <v>0.47556248011103802</v>
      </c>
      <c r="K70" s="14">
        <f t="shared" si="3"/>
        <v>0.52474655624400546</v>
      </c>
      <c r="L70" s="14"/>
      <c r="M70" s="14"/>
    </row>
    <row r="71" spans="1:13">
      <c r="A71">
        <v>34.5</v>
      </c>
      <c r="B71" s="4">
        <v>57357</v>
      </c>
      <c r="C71" s="14">
        <v>0.52823009110863162</v>
      </c>
      <c r="D71" s="14">
        <v>0.53069993891946243</v>
      </c>
      <c r="E71" s="14">
        <v>1.0893057448593301E-2</v>
      </c>
      <c r="F71" s="14">
        <v>0.51111111111111107</v>
      </c>
      <c r="G71" s="14">
        <v>0</v>
      </c>
      <c r="H71" s="14"/>
      <c r="I71" s="14"/>
      <c r="J71" s="14">
        <f t="shared" si="4"/>
        <v>0.47850343426117148</v>
      </c>
      <c r="K71" s="14">
        <f>(K72*(G72/100*I72-J71+C72)/C72)</f>
        <v>0.5218411727971306</v>
      </c>
      <c r="L71" s="14"/>
      <c r="M71" s="14"/>
    </row>
    <row r="72" spans="1:13">
      <c r="A72">
        <v>35</v>
      </c>
      <c r="B72" s="4">
        <v>57538</v>
      </c>
      <c r="C72" s="14">
        <v>0.52459684006245333</v>
      </c>
      <c r="D72" s="14">
        <v>0.52782259332972981</v>
      </c>
      <c r="E72" s="14">
        <v>1.08424636949378E-2</v>
      </c>
      <c r="F72" s="14">
        <v>0.50277777777777777</v>
      </c>
      <c r="G72" s="14">
        <v>1.9110446560045613</v>
      </c>
      <c r="H72" s="14">
        <v>1</v>
      </c>
      <c r="I72" s="14">
        <v>25.032159696291082</v>
      </c>
      <c r="J72" s="14">
        <f t="shared" si="4"/>
        <v>0.48136319514146864</v>
      </c>
      <c r="K72" s="14">
        <f t="shared" ref="K72:K80" si="5">K73*(1+E73*F73)</f>
        <v>0.52196821710684693</v>
      </c>
      <c r="L72" s="14"/>
      <c r="M72" s="14">
        <f>K72</f>
        <v>0.52196821710684693</v>
      </c>
    </row>
    <row r="73" spans="1:13">
      <c r="A73">
        <v>35.5</v>
      </c>
      <c r="B73" s="4">
        <v>57724</v>
      </c>
      <c r="C73" s="14">
        <v>0.52089196930492376</v>
      </c>
      <c r="D73" s="14">
        <v>0.5248990250607739</v>
      </c>
      <c r="E73" s="14">
        <v>1.07802052586819E-2</v>
      </c>
      <c r="F73" s="14">
        <v>0.51666666666666672</v>
      </c>
      <c r="G73" s="14">
        <v>0</v>
      </c>
      <c r="H73" s="14"/>
      <c r="I73" s="14"/>
      <c r="J73" s="14">
        <f t="shared" si="4"/>
        <v>0.48426444502060012</v>
      </c>
      <c r="K73" s="14">
        <f t="shared" si="5"/>
        <v>0.51907707577219819</v>
      </c>
      <c r="L73" s="14"/>
      <c r="M73" s="14"/>
    </row>
    <row r="74" spans="1:13">
      <c r="A74">
        <v>36</v>
      </c>
      <c r="B74" s="4">
        <v>57903</v>
      </c>
      <c r="C74" s="14">
        <v>0.51735683932539711</v>
      </c>
      <c r="D74" s="14">
        <v>0.5221203071921855</v>
      </c>
      <c r="E74" s="14">
        <v>1.07032216274824E-2</v>
      </c>
      <c r="F74" s="14">
        <v>0.49722222222222218</v>
      </c>
      <c r="G74" s="14">
        <v>0</v>
      </c>
      <c r="H74" s="14"/>
      <c r="I74" s="14"/>
      <c r="J74" s="14">
        <f t="shared" si="4"/>
        <v>0.4870177558517419</v>
      </c>
      <c r="K74" s="14">
        <f t="shared" si="5"/>
        <v>0.51632923373433204</v>
      </c>
      <c r="L74" s="14"/>
      <c r="M74" s="14"/>
    </row>
    <row r="75" spans="1:13">
      <c r="A75">
        <v>36.5</v>
      </c>
      <c r="B75" s="4">
        <v>58088</v>
      </c>
      <c r="C75" s="14">
        <v>0.51373727224032295</v>
      </c>
      <c r="D75" s="14">
        <v>0.51928740042500721</v>
      </c>
      <c r="E75" s="14">
        <v>1.06158621108882E-2</v>
      </c>
      <c r="F75" s="14">
        <v>0.51388888888888884</v>
      </c>
      <c r="G75" s="14">
        <v>0</v>
      </c>
      <c r="H75" s="14"/>
      <c r="I75" s="14"/>
      <c r="J75" s="14">
        <f t="shared" si="4"/>
        <v>0.48982038459622945</v>
      </c>
      <c r="K75" s="14">
        <f t="shared" si="5"/>
        <v>0.51352774802272649</v>
      </c>
      <c r="L75" s="14"/>
      <c r="M75" s="14"/>
    </row>
    <row r="76" spans="1:13">
      <c r="A76">
        <v>37</v>
      </c>
      <c r="B76" s="4">
        <v>58270</v>
      </c>
      <c r="C76" s="14">
        <v>0.51021287719542696</v>
      </c>
      <c r="D76" s="14">
        <v>0.51654201597351568</v>
      </c>
      <c r="E76" s="14">
        <v>1.05130475648442E-2</v>
      </c>
      <c r="F76" s="14">
        <v>0.50555555555555554</v>
      </c>
      <c r="G76" s="14">
        <v>0</v>
      </c>
      <c r="H76" s="14"/>
      <c r="I76" s="14"/>
      <c r="J76" s="14">
        <f t="shared" si="4"/>
        <v>0.49253213012067271</v>
      </c>
      <c r="K76" s="14">
        <f t="shared" si="5"/>
        <v>0.51081281387705457</v>
      </c>
      <c r="L76" s="14"/>
      <c r="M76" s="14"/>
    </row>
    <row r="77" spans="1:13">
      <c r="A77">
        <v>37.5</v>
      </c>
      <c r="B77" s="4">
        <v>58452</v>
      </c>
      <c r="C77" s="14">
        <v>0.50672726759364373</v>
      </c>
      <c r="D77" s="14">
        <v>0.51384074987513662</v>
      </c>
      <c r="E77" s="14">
        <v>1.0398104339398801E-2</v>
      </c>
      <c r="F77" s="14">
        <v>0.50555555555555554</v>
      </c>
      <c r="G77" s="14">
        <v>0</v>
      </c>
      <c r="H77" s="14"/>
      <c r="I77" s="14"/>
      <c r="J77" s="14">
        <f t="shared" si="4"/>
        <v>0.4951959038595905</v>
      </c>
      <c r="K77" s="14">
        <f t="shared" si="5"/>
        <v>0.50814160522063834</v>
      </c>
      <c r="L77" s="14"/>
      <c r="M77" s="14"/>
    </row>
    <row r="78" spans="1:13">
      <c r="A78">
        <v>38</v>
      </c>
      <c r="B78" s="4">
        <v>58634</v>
      </c>
      <c r="C78" s="14">
        <v>0.50328295965269065</v>
      </c>
      <c r="D78" s="14">
        <v>0.51118640050096331</v>
      </c>
      <c r="E78" s="14">
        <v>1.0270933253150399E-2</v>
      </c>
      <c r="F78" s="14">
        <v>0.50555555555555554</v>
      </c>
      <c r="G78" s="14">
        <v>0</v>
      </c>
      <c r="H78" s="14"/>
      <c r="I78" s="14"/>
      <c r="J78" s="14">
        <f t="shared" si="4"/>
        <v>0.49780921440086667</v>
      </c>
      <c r="K78" s="14">
        <f t="shared" si="5"/>
        <v>0.50551669594254667</v>
      </c>
      <c r="L78" s="14"/>
      <c r="M78" s="14"/>
    </row>
    <row r="79" spans="1:13">
      <c r="A79">
        <v>38.5</v>
      </c>
      <c r="B79" s="4">
        <v>58818</v>
      </c>
      <c r="C79" s="14">
        <v>0.49984527842257231</v>
      </c>
      <c r="D79" s="14">
        <v>0.50855337125243827</v>
      </c>
      <c r="E79" s="14">
        <v>1.0129868870633E-2</v>
      </c>
      <c r="F79" s="14">
        <v>0.51111111111111107</v>
      </c>
      <c r="G79" s="14">
        <v>0</v>
      </c>
      <c r="H79" s="14"/>
      <c r="I79" s="14"/>
      <c r="J79" s="14">
        <f t="shared" si="4"/>
        <v>0.50039715759861314</v>
      </c>
      <c r="K79" s="14">
        <f t="shared" si="5"/>
        <v>0.50291287032290954</v>
      </c>
      <c r="L79" s="14"/>
      <c r="M79" s="14"/>
    </row>
    <row r="80" spans="1:13">
      <c r="A80">
        <v>39</v>
      </c>
      <c r="B80" s="4">
        <v>58999</v>
      </c>
      <c r="C80" s="14">
        <v>0.49650964556268212</v>
      </c>
      <c r="D80" s="14">
        <v>0.50601548457043399</v>
      </c>
      <c r="E80" s="14">
        <v>9.9754465449435996E-3</v>
      </c>
      <c r="F80" s="14">
        <v>0.50277777777777777</v>
      </c>
      <c r="G80" s="14">
        <v>0</v>
      </c>
      <c r="H80" s="14"/>
      <c r="I80" s="14"/>
      <c r="J80" s="14">
        <f t="shared" si="4"/>
        <v>0.50288736838342718</v>
      </c>
      <c r="K80" s="14">
        <f t="shared" si="5"/>
        <v>0.50040313201824005</v>
      </c>
      <c r="L80" s="14"/>
      <c r="M80" s="14"/>
    </row>
    <row r="81" spans="1:13">
      <c r="A81">
        <v>39.5</v>
      </c>
      <c r="B81" s="4">
        <v>59183</v>
      </c>
      <c r="C81" s="14">
        <v>0.49316783235733408</v>
      </c>
      <c r="D81" s="14">
        <v>0.50349129580180585</v>
      </c>
      <c r="E81" s="14">
        <v>9.8087697655727703E-3</v>
      </c>
      <c r="F81" s="14">
        <v>0.51111111111111107</v>
      </c>
      <c r="G81" s="14">
        <v>0</v>
      </c>
      <c r="H81" s="14"/>
      <c r="I81" s="14"/>
      <c r="J81" s="14">
        <f t="shared" si="4"/>
        <v>0.50535980179759898</v>
      </c>
      <c r="K81" s="14">
        <f>(K82*(G82/100*I82-J81+C82))/C82</f>
        <v>0.49790693969974009</v>
      </c>
      <c r="L81" s="14"/>
      <c r="M81" s="14"/>
    </row>
    <row r="82" spans="1:13">
      <c r="A82">
        <v>40</v>
      </c>
      <c r="B82" s="4">
        <v>59364</v>
      </c>
      <c r="C82" s="14">
        <v>0.48993103816542471</v>
      </c>
      <c r="D82" s="14">
        <v>0.50106569279954849</v>
      </c>
      <c r="E82" s="14">
        <v>9.6282859328103293E-3</v>
      </c>
      <c r="F82" s="14">
        <v>0.50277777777777777</v>
      </c>
      <c r="G82" s="14">
        <v>1.8159366063204996</v>
      </c>
      <c r="H82" s="14">
        <v>1</v>
      </c>
      <c r="I82" s="14">
        <v>27.549491555734601</v>
      </c>
      <c r="J82" s="14">
        <f t="shared" si="4"/>
        <v>0.50773150318157001</v>
      </c>
      <c r="K82" s="15">
        <f t="shared" ref="K82:K100" si="6">K83*(1+E83*F83)</f>
        <v>0.50312217543527216</v>
      </c>
      <c r="L82" s="15">
        <v>0.50312217543527205</v>
      </c>
      <c r="M82" s="14">
        <f>K82</f>
        <v>0.50312217543527216</v>
      </c>
    </row>
    <row r="83" spans="1:13">
      <c r="A83">
        <v>40.5</v>
      </c>
      <c r="B83" s="4">
        <v>59548</v>
      </c>
      <c r="C83" s="14">
        <v>0.48669362634470931</v>
      </c>
      <c r="D83" s="14">
        <v>0.49865975423065317</v>
      </c>
      <c r="E83" s="14">
        <v>9.4398456525104004E-3</v>
      </c>
      <c r="F83" s="14">
        <v>0.51111111111111107</v>
      </c>
      <c r="G83" s="14">
        <v>0</v>
      </c>
      <c r="H83" s="14"/>
      <c r="I83" s="14"/>
      <c r="J83" s="14">
        <f t="shared" si="4"/>
        <v>0.51007970745697795</v>
      </c>
      <c r="K83" s="14">
        <f t="shared" si="6"/>
        <v>0.500706362370955</v>
      </c>
      <c r="L83" s="14"/>
      <c r="M83" s="14"/>
    </row>
    <row r="84" spans="1:13">
      <c r="A84">
        <v>41</v>
      </c>
      <c r="B84" s="4">
        <v>59729</v>
      </c>
      <c r="C84" s="14">
        <v>0.4835606296701902</v>
      </c>
      <c r="D84" s="14">
        <v>0.49634912885889831</v>
      </c>
      <c r="E84" s="14">
        <v>9.2590451040213406E-3</v>
      </c>
      <c r="F84" s="14">
        <v>0.50277777777777777</v>
      </c>
      <c r="G84" s="14">
        <v>0</v>
      </c>
      <c r="H84" s="14"/>
      <c r="I84" s="14"/>
      <c r="J84" s="14">
        <f t="shared" si="4"/>
        <v>0.51233079926863567</v>
      </c>
      <c r="K84" s="14">
        <f t="shared" si="6"/>
        <v>0.49838625368987965</v>
      </c>
      <c r="L84" s="14"/>
      <c r="M84" s="14"/>
    </row>
    <row r="85" spans="1:13">
      <c r="A85">
        <v>41.5</v>
      </c>
      <c r="B85" s="4">
        <v>59915</v>
      </c>
      <c r="C85" s="14">
        <v>0.48039334667767708</v>
      </c>
      <c r="D85" s="14">
        <v>0.49402867581010651</v>
      </c>
      <c r="E85" s="14">
        <v>9.0909691464970098E-3</v>
      </c>
      <c r="F85" s="14">
        <v>0.51666666666666672</v>
      </c>
      <c r="G85" s="14">
        <v>0</v>
      </c>
      <c r="H85" s="14"/>
      <c r="I85" s="14"/>
      <c r="J85" s="14">
        <f t="shared" si="4"/>
        <v>0.51458720716659745</v>
      </c>
      <c r="K85" s="14">
        <f t="shared" si="6"/>
        <v>0.49605627699684235</v>
      </c>
      <c r="L85" s="14"/>
      <c r="M85" s="14"/>
    </row>
    <row r="86" spans="1:13">
      <c r="A86">
        <v>42</v>
      </c>
      <c r="B86" s="4">
        <v>60097</v>
      </c>
      <c r="C86" s="14">
        <v>0.4773444128346101</v>
      </c>
      <c r="D86" s="14">
        <v>0.49180732439275149</v>
      </c>
      <c r="E86" s="14">
        <v>8.9341530849784603E-3</v>
      </c>
      <c r="F86" s="14">
        <v>0.50555555555555554</v>
      </c>
      <c r="G86" s="14">
        <v>0</v>
      </c>
      <c r="H86" s="14"/>
      <c r="I86" s="14"/>
      <c r="J86" s="14">
        <f t="shared" si="4"/>
        <v>0.51674323379618436</v>
      </c>
      <c r="K86" s="14">
        <f t="shared" si="6"/>
        <v>0.49382580866990189</v>
      </c>
      <c r="L86" s="14"/>
      <c r="M86" s="14"/>
    </row>
    <row r="87" spans="1:13">
      <c r="A87">
        <v>42.5</v>
      </c>
      <c r="B87" s="4">
        <v>60279</v>
      </c>
      <c r="C87" s="14">
        <v>0.47434415945888991</v>
      </c>
      <c r="D87" s="14">
        <v>0.4896309584163458</v>
      </c>
      <c r="E87" s="14">
        <v>8.7916116448463408E-3</v>
      </c>
      <c r="F87" s="14">
        <v>0.50555555555555554</v>
      </c>
      <c r="G87" s="14">
        <v>0</v>
      </c>
      <c r="H87" s="14"/>
      <c r="I87" s="14"/>
      <c r="J87" s="14">
        <f t="shared" si="4"/>
        <v>0.51885152666769929</v>
      </c>
      <c r="K87" s="14">
        <f t="shared" si="6"/>
        <v>0.49164063903314897</v>
      </c>
      <c r="L87" s="14"/>
      <c r="M87" s="14"/>
    </row>
    <row r="88" spans="1:13">
      <c r="A88">
        <v>43</v>
      </c>
      <c r="B88" s="4">
        <v>60461</v>
      </c>
      <c r="C88" s="14">
        <v>0.47139160614948861</v>
      </c>
      <c r="D88" s="14">
        <v>0.48749599328334481</v>
      </c>
      <c r="E88" s="14">
        <v>8.6626516188248893E-3</v>
      </c>
      <c r="F88" s="14">
        <v>0.50555555555555554</v>
      </c>
      <c r="G88" s="14">
        <v>0</v>
      </c>
      <c r="H88" s="14"/>
      <c r="I88" s="14"/>
      <c r="J88" s="14">
        <f t="shared" si="4"/>
        <v>0.52091596341586666</v>
      </c>
      <c r="K88" s="14">
        <f t="shared" si="6"/>
        <v>0.48949691097784581</v>
      </c>
      <c r="L88" s="14"/>
      <c r="M88" s="14"/>
    </row>
    <row r="89" spans="1:13">
      <c r="A89">
        <v>43.5</v>
      </c>
      <c r="B89" s="4">
        <v>60644</v>
      </c>
      <c r="C89" s="14">
        <v>0.46846995448104201</v>
      </c>
      <c r="D89" s="14">
        <v>0.48538748473141352</v>
      </c>
      <c r="E89" s="14">
        <v>8.5453174166054604E-3</v>
      </c>
      <c r="F89" s="14">
        <v>0.5083333333333333</v>
      </c>
      <c r="G89" s="14">
        <v>0</v>
      </c>
      <c r="H89" s="14"/>
      <c r="I89" s="14"/>
      <c r="J89" s="14">
        <f t="shared" si="4"/>
        <v>0.5229509358503015</v>
      </c>
      <c r="K89" s="14">
        <f t="shared" si="6"/>
        <v>0.48737979665321762</v>
      </c>
      <c r="L89" s="14"/>
      <c r="M89" s="14"/>
    </row>
    <row r="90" spans="1:13">
      <c r="A90">
        <v>44</v>
      </c>
      <c r="B90" s="4">
        <v>60825</v>
      </c>
      <c r="C90" s="14">
        <v>0.46562578064583421</v>
      </c>
      <c r="D90" s="14">
        <v>0.48333624725846241</v>
      </c>
      <c r="E90" s="14">
        <v>8.4409339494139791E-3</v>
      </c>
      <c r="F90" s="14">
        <v>0.50277777777777777</v>
      </c>
      <c r="G90" s="14">
        <v>0</v>
      </c>
      <c r="H90" s="14"/>
      <c r="I90" s="14"/>
      <c r="J90" s="14">
        <f t="shared" si="4"/>
        <v>0.52492701162581046</v>
      </c>
      <c r="K90" s="14">
        <f t="shared" si="6"/>
        <v>0.48532013971128479</v>
      </c>
      <c r="L90" s="14"/>
      <c r="M90" s="14"/>
    </row>
    <row r="91" spans="1:13">
      <c r="A91">
        <v>44.5</v>
      </c>
      <c r="B91" s="4">
        <v>61009</v>
      </c>
      <c r="C91" s="14">
        <v>0.46277995896916652</v>
      </c>
      <c r="D91" s="14">
        <v>0.48128244372266532</v>
      </c>
      <c r="E91" s="14">
        <v>8.3491748309134205E-3</v>
      </c>
      <c r="F91" s="14">
        <v>0.51111111111111107</v>
      </c>
      <c r="G91" s="14">
        <v>0</v>
      </c>
      <c r="H91" s="14"/>
      <c r="I91" s="14"/>
      <c r="J91" s="14">
        <f t="shared" si="4"/>
        <v>0.52690185847182291</v>
      </c>
      <c r="K91" s="14">
        <f t="shared" si="6"/>
        <v>0.48325790617389497</v>
      </c>
      <c r="L91" s="14"/>
      <c r="M91" s="14"/>
    </row>
    <row r="92" spans="1:13">
      <c r="A92">
        <v>45</v>
      </c>
      <c r="B92" s="4">
        <v>61190</v>
      </c>
      <c r="C92" s="14">
        <v>0.46002438942535051</v>
      </c>
      <c r="D92" s="14">
        <v>0.47928971420650379</v>
      </c>
      <c r="E92" s="14">
        <v>8.2694032527044995E-3</v>
      </c>
      <c r="F92" s="14">
        <v>0.50277777777777777</v>
      </c>
      <c r="G92" s="14">
        <v>0</v>
      </c>
      <c r="H92" s="14"/>
      <c r="I92" s="14"/>
      <c r="J92" s="14">
        <f t="shared" si="4"/>
        <v>0.5288144890828923</v>
      </c>
      <c r="K92" s="14">
        <f t="shared" si="6"/>
        <v>0.48125699733936034</v>
      </c>
      <c r="L92" s="14"/>
      <c r="M92" s="14"/>
    </row>
    <row r="93" spans="1:13">
      <c r="A93">
        <v>45.5</v>
      </c>
      <c r="B93" s="4">
        <v>61374</v>
      </c>
      <c r="C93" s="14">
        <v>0.45726682763226401</v>
      </c>
      <c r="D93" s="14">
        <v>0.47728865240006779</v>
      </c>
      <c r="E93" s="14">
        <v>8.2028368073458306E-3</v>
      </c>
      <c r="F93" s="14">
        <v>0.51111111111111107</v>
      </c>
      <c r="G93" s="14">
        <v>0</v>
      </c>
      <c r="H93" s="14"/>
      <c r="I93" s="14"/>
      <c r="J93" s="14">
        <f t="shared" si="4"/>
        <v>0.53073160816695997</v>
      </c>
      <c r="K93" s="14">
        <f t="shared" si="6"/>
        <v>0.47924772201399635</v>
      </c>
      <c r="L93" s="14"/>
      <c r="M93" s="14"/>
    </row>
    <row r="94" spans="1:13">
      <c r="A94">
        <v>46</v>
      </c>
      <c r="B94" s="4">
        <v>61556</v>
      </c>
      <c r="C94" s="14">
        <v>0.45458169239949059</v>
      </c>
      <c r="D94" s="14">
        <v>0.47533058089557279</v>
      </c>
      <c r="E94" s="14">
        <v>8.1482417208092097E-3</v>
      </c>
      <c r="F94" s="14">
        <v>0.50555555555555554</v>
      </c>
      <c r="G94" s="14">
        <v>0</v>
      </c>
      <c r="H94" s="14"/>
      <c r="I94" s="14"/>
      <c r="J94" s="14">
        <f t="shared" si="4"/>
        <v>0.53260420693112009</v>
      </c>
      <c r="K94" s="14">
        <f t="shared" si="6"/>
        <v>0.47728161344772102</v>
      </c>
      <c r="L94" s="14"/>
      <c r="M94" s="14"/>
    </row>
    <row r="95" spans="1:13">
      <c r="A95">
        <v>46.5</v>
      </c>
      <c r="B95" s="4">
        <v>61742</v>
      </c>
      <c r="C95" s="14">
        <v>0.45188028198482799</v>
      </c>
      <c r="D95" s="14">
        <v>0.47334797928999178</v>
      </c>
      <c r="E95" s="14">
        <v>8.1067071119907304E-3</v>
      </c>
      <c r="F95" s="14">
        <v>0.51666666666666672</v>
      </c>
      <c r="G95" s="14">
        <v>0</v>
      </c>
      <c r="H95" s="14"/>
      <c r="I95" s="14"/>
      <c r="J95" s="14">
        <f t="shared" si="4"/>
        <v>0.53449689183058302</v>
      </c>
      <c r="K95" s="14">
        <f t="shared" si="6"/>
        <v>0.47529087409458948</v>
      </c>
      <c r="L95" s="14"/>
      <c r="M95" s="14"/>
    </row>
    <row r="96" spans="1:13">
      <c r="A96">
        <v>47</v>
      </c>
      <c r="B96" s="4">
        <v>61921</v>
      </c>
      <c r="C96" s="14">
        <v>0.44932051302385029</v>
      </c>
      <c r="D96" s="14">
        <v>0.47145456425612797</v>
      </c>
      <c r="E96" s="14">
        <v>8.0772026974377208E-3</v>
      </c>
      <c r="F96" s="14">
        <v>0.49722222222222218</v>
      </c>
      <c r="G96" s="14">
        <v>0</v>
      </c>
      <c r="H96" s="14"/>
      <c r="I96" s="14"/>
      <c r="J96" s="14">
        <f t="shared" si="4"/>
        <v>0.53630143700254429</v>
      </c>
      <c r="K96" s="14">
        <f t="shared" si="6"/>
        <v>0.47338966325173631</v>
      </c>
      <c r="L96" s="14"/>
      <c r="M96" s="14"/>
    </row>
    <row r="97" spans="1:17">
      <c r="A97">
        <v>47.5</v>
      </c>
      <c r="B97" s="4">
        <v>62106</v>
      </c>
      <c r="C97" s="14">
        <v>0.44671531179977891</v>
      </c>
      <c r="D97" s="14">
        <v>0.46950955127735849</v>
      </c>
      <c r="E97" s="14">
        <v>8.0613698071773897E-3</v>
      </c>
      <c r="F97" s="14">
        <v>0.51388888888888884</v>
      </c>
      <c r="G97" s="14">
        <v>0</v>
      </c>
      <c r="H97" s="14"/>
      <c r="I97" s="14"/>
      <c r="J97" s="14">
        <f t="shared" si="4"/>
        <v>0.53815202146222518</v>
      </c>
      <c r="K97" s="14">
        <f t="shared" si="6"/>
        <v>0.47143666691052427</v>
      </c>
      <c r="L97" s="14"/>
      <c r="M97" s="14"/>
    </row>
    <row r="98" spans="1:17">
      <c r="A98">
        <v>48</v>
      </c>
      <c r="B98" s="4">
        <v>62288</v>
      </c>
      <c r="C98" s="14">
        <v>0.44419159681857179</v>
      </c>
      <c r="D98" s="14">
        <v>0.46760479806134042</v>
      </c>
      <c r="E98" s="14">
        <v>8.0573247742801099E-3</v>
      </c>
      <c r="F98" s="14">
        <v>0.50555555555555554</v>
      </c>
      <c r="G98" s="14">
        <v>0</v>
      </c>
      <c r="H98" s="14"/>
      <c r="I98" s="14"/>
      <c r="J98" s="14">
        <f t="shared" si="4"/>
        <v>0.5399614027518872</v>
      </c>
      <c r="K98" s="14">
        <f t="shared" si="6"/>
        <v>0.46952409557943281</v>
      </c>
      <c r="L98" s="14"/>
      <c r="M98" s="14"/>
    </row>
    <row r="99" spans="1:17">
      <c r="A99">
        <v>48.5</v>
      </c>
      <c r="B99" s="4">
        <v>62470</v>
      </c>
      <c r="C99" s="14">
        <v>0.44170601590680081</v>
      </c>
      <c r="D99" s="14">
        <v>0.46570569634089187</v>
      </c>
      <c r="E99" s="14">
        <v>8.0664530618313798E-3</v>
      </c>
      <c r="F99" s="14">
        <v>0.50555555555555554</v>
      </c>
      <c r="G99" s="14">
        <v>0</v>
      </c>
      <c r="H99" s="14"/>
      <c r="I99" s="14"/>
      <c r="J99" s="14">
        <f t="shared" si="4"/>
        <v>0.54176269762324336</v>
      </c>
      <c r="K99" s="14">
        <f t="shared" si="6"/>
        <v>0.46761713412740746</v>
      </c>
      <c r="L99" s="14"/>
      <c r="M99" s="14"/>
      <c r="P99" s="4">
        <v>59364</v>
      </c>
      <c r="Q99" s="14">
        <f>L82</f>
        <v>0.50312217543527205</v>
      </c>
    </row>
    <row r="100" spans="1:17">
      <c r="A100">
        <v>49</v>
      </c>
      <c r="B100" s="4">
        <v>62652</v>
      </c>
      <c r="C100" s="14">
        <v>0.4392578039092318</v>
      </c>
      <c r="D100" s="14">
        <v>0.46380931440043982</v>
      </c>
      <c r="E100" s="14">
        <v>8.0875589180164006E-3</v>
      </c>
      <c r="F100" s="14">
        <v>0.50555555555555554</v>
      </c>
      <c r="G100" s="14">
        <v>0</v>
      </c>
      <c r="H100" s="14"/>
      <c r="I100" s="14"/>
      <c r="J100" s="14">
        <f t="shared" ref="J100:J122" si="7">J99+(E100*F100*C100)</f>
        <v>0.54355869554884118</v>
      </c>
      <c r="K100" s="14">
        <f t="shared" si="6"/>
        <v>0.46571296869594986</v>
      </c>
      <c r="L100" s="14"/>
      <c r="M100" s="14"/>
      <c r="P100" s="4">
        <v>66670</v>
      </c>
      <c r="Q100" s="14">
        <f>L122</f>
        <v>0.49305409059548599</v>
      </c>
    </row>
    <row r="101" spans="1:17">
      <c r="A101">
        <v>49.5</v>
      </c>
      <c r="B101" s="4">
        <v>62835</v>
      </c>
      <c r="C101" s="14">
        <v>0.43683305994826649</v>
      </c>
      <c r="D101" s="14">
        <v>0.46190234191945129</v>
      </c>
      <c r="E101" s="14">
        <v>8.1218840242567106E-3</v>
      </c>
      <c r="F101" s="14">
        <v>0.5083333333333333</v>
      </c>
      <c r="G101" s="14">
        <v>0</v>
      </c>
      <c r="H101" s="14"/>
      <c r="I101" s="14"/>
      <c r="J101" s="14">
        <f t="shared" si="7"/>
        <v>0.54536221516969552</v>
      </c>
      <c r="K101" s="14">
        <f>(M102*(G102/100*I102-J101+C102))/C102</f>
        <v>0.46379812046884916</v>
      </c>
      <c r="L101" s="14"/>
      <c r="M101" s="14"/>
      <c r="P101" s="4"/>
      <c r="Q101" s="14"/>
    </row>
    <row r="102" spans="1:17">
      <c r="A102">
        <v>50</v>
      </c>
      <c r="B102" s="4">
        <v>63017</v>
      </c>
      <c r="C102" s="14">
        <v>0.43445754508781198</v>
      </c>
      <c r="D102" s="14">
        <v>0.46000277084258262</v>
      </c>
      <c r="E102" s="14">
        <v>8.1681971871145394E-3</v>
      </c>
      <c r="F102" s="14">
        <v>0.50555555555555554</v>
      </c>
      <c r="G102" s="14">
        <v>1.6043055423809556</v>
      </c>
      <c r="H102" s="14">
        <v>0.99722222222222223</v>
      </c>
      <c r="I102" s="14">
        <v>32.129337357042132</v>
      </c>
      <c r="J102" s="14">
        <f t="shared" si="7"/>
        <v>0.54715629781242514</v>
      </c>
      <c r="K102" s="14">
        <f t="shared" ref="K102:K120" si="8">K103*(1+E103*F103)</f>
        <v>0.53575538970850012</v>
      </c>
      <c r="L102" s="14"/>
      <c r="M102" s="14">
        <f>Q102</f>
        <v>0.49808813301537902</v>
      </c>
      <c r="P102" s="4">
        <v>63017</v>
      </c>
      <c r="Q102" s="14" cm="1">
        <f t="array" ref="Q102">interpolate(P99:P100,Q99:Q100,P102,"Natural Cubic Spline")</f>
        <v>0.49808813301537902</v>
      </c>
    </row>
    <row r="103" spans="1:17">
      <c r="A103">
        <v>50.5</v>
      </c>
      <c r="B103" s="4">
        <v>63201</v>
      </c>
      <c r="C103" s="14">
        <v>0.43209151992901568</v>
      </c>
      <c r="D103" s="14">
        <v>0.45807702898065161</v>
      </c>
      <c r="E103" s="14">
        <v>8.2251577321086899E-3</v>
      </c>
      <c r="F103" s="14">
        <v>0.51111111111111107</v>
      </c>
      <c r="G103" s="14">
        <v>0</v>
      </c>
      <c r="H103" s="14"/>
      <c r="I103" s="14"/>
      <c r="J103" s="14">
        <f t="shared" si="7"/>
        <v>0.5489727973866656</v>
      </c>
      <c r="K103" s="14">
        <f t="shared" si="8"/>
        <v>0.5335125193452912</v>
      </c>
      <c r="L103" s="14"/>
      <c r="M103" s="14"/>
      <c r="P103" s="4">
        <v>66488</v>
      </c>
      <c r="Q103" s="14" cm="1">
        <f t="array" ref="Q103">interpolate(P99:P100,Q99:Q100,P103,"Natural Cubic Spline")</f>
        <v>0.49330489697939522</v>
      </c>
    </row>
    <row r="104" spans="1:17">
      <c r="A104">
        <v>51</v>
      </c>
      <c r="B104" s="4">
        <v>63382</v>
      </c>
      <c r="C104" s="14">
        <v>0.42979759775090948</v>
      </c>
      <c r="D104" s="14">
        <v>0.45617770642395977</v>
      </c>
      <c r="E104" s="14">
        <v>8.2811107833842199E-3</v>
      </c>
      <c r="F104" s="14">
        <v>0.50277777777777777</v>
      </c>
      <c r="G104" s="14">
        <v>0</v>
      </c>
      <c r="H104" s="14"/>
      <c r="I104" s="14"/>
      <c r="J104" s="14">
        <f t="shared" si="7"/>
        <v>0.55076228481826228</v>
      </c>
      <c r="K104" s="14">
        <f t="shared" si="8"/>
        <v>0.53130041898189839</v>
      </c>
      <c r="L104" s="14"/>
      <c r="M104" s="14"/>
      <c r="Q104" s="14"/>
    </row>
    <row r="105" spans="1:17">
      <c r="A105">
        <v>51.5</v>
      </c>
      <c r="B105" s="4">
        <v>63566</v>
      </c>
      <c r="C105" s="14">
        <v>0.42749820729406318</v>
      </c>
      <c r="D105" s="14">
        <v>0.45424265881200709</v>
      </c>
      <c r="E105" s="14">
        <v>8.3346701275028908E-3</v>
      </c>
      <c r="F105" s="14">
        <v>0.51111111111111107</v>
      </c>
      <c r="G105" s="14">
        <v>0</v>
      </c>
      <c r="H105" s="14"/>
      <c r="I105" s="14"/>
      <c r="J105" s="14">
        <f t="shared" si="7"/>
        <v>0.55258340260429739</v>
      </c>
      <c r="K105" s="14">
        <f t="shared" si="8"/>
        <v>0.52904671041064932</v>
      </c>
      <c r="L105" s="14"/>
      <c r="M105" s="14"/>
    </row>
    <row r="106" spans="1:17">
      <c r="A106">
        <v>52</v>
      </c>
      <c r="B106" s="4">
        <v>63747</v>
      </c>
      <c r="C106" s="14">
        <v>0.42526686220753063</v>
      </c>
      <c r="D106" s="14">
        <v>0.45233577293794869</v>
      </c>
      <c r="E106" s="14">
        <v>8.3847031627381999E-3</v>
      </c>
      <c r="F106" s="14">
        <v>0.50277777777777777</v>
      </c>
      <c r="G106" s="14">
        <v>0</v>
      </c>
      <c r="H106" s="14"/>
      <c r="I106" s="14"/>
      <c r="J106" s="14">
        <f t="shared" si="7"/>
        <v>0.55437617562992303</v>
      </c>
      <c r="K106" s="14">
        <f t="shared" si="8"/>
        <v>0.52682580121326672</v>
      </c>
      <c r="L106" s="14"/>
      <c r="M106" s="14"/>
    </row>
    <row r="107" spans="1:17">
      <c r="A107">
        <v>52.5</v>
      </c>
      <c r="B107" s="4">
        <v>63933</v>
      </c>
      <c r="C107" s="14">
        <v>0.42300395048401113</v>
      </c>
      <c r="D107" s="14">
        <v>0.45037351900654238</v>
      </c>
      <c r="E107" s="14">
        <v>8.4328022734497608E-3</v>
      </c>
      <c r="F107" s="14">
        <v>0.51666666666666672</v>
      </c>
      <c r="G107" s="14">
        <v>0</v>
      </c>
      <c r="H107" s="14"/>
      <c r="I107" s="14"/>
      <c r="J107" s="14">
        <f t="shared" si="7"/>
        <v>0.55621918177883822</v>
      </c>
      <c r="K107" s="14">
        <f t="shared" si="8"/>
        <v>0.52454040602357688</v>
      </c>
      <c r="L107" s="14"/>
      <c r="M107" s="14"/>
    </row>
    <row r="108" spans="1:17">
      <c r="A108">
        <v>53</v>
      </c>
      <c r="B108" s="4">
        <v>64112</v>
      </c>
      <c r="C108" s="14">
        <v>0.42085359185350152</v>
      </c>
      <c r="D108" s="14">
        <v>0.44848329287351291</v>
      </c>
      <c r="E108" s="14">
        <v>8.4771553101963201E-3</v>
      </c>
      <c r="F108" s="14">
        <v>0.49722222222222218</v>
      </c>
      <c r="G108" s="14">
        <v>0</v>
      </c>
      <c r="H108" s="14"/>
      <c r="I108" s="14"/>
      <c r="J108" s="14">
        <f t="shared" si="7"/>
        <v>0.55799309229472238</v>
      </c>
      <c r="K108" s="14">
        <f t="shared" si="8"/>
        <v>0.52233873259476604</v>
      </c>
      <c r="L108" s="14"/>
      <c r="M108" s="14"/>
    </row>
    <row r="109" spans="1:17">
      <c r="A109">
        <v>53.5</v>
      </c>
      <c r="B109" s="4">
        <v>64297</v>
      </c>
      <c r="C109" s="14">
        <v>0.41865796586185228</v>
      </c>
      <c r="D109" s="14">
        <v>0.44652860355843721</v>
      </c>
      <c r="E109" s="14">
        <v>8.5184234961502292E-3</v>
      </c>
      <c r="F109" s="14">
        <v>0.51388888888888884</v>
      </c>
      <c r="G109" s="14">
        <v>0</v>
      </c>
      <c r="H109" s="14"/>
      <c r="I109" s="14"/>
      <c r="J109" s="14">
        <f t="shared" si="7"/>
        <v>0.55982577724708593</v>
      </c>
      <c r="K109" s="14">
        <f t="shared" si="8"/>
        <v>0.52006214848187449</v>
      </c>
      <c r="L109" s="14"/>
      <c r="M109" s="14"/>
    </row>
    <row r="110" spans="1:17">
      <c r="A110">
        <v>54</v>
      </c>
      <c r="B110" s="4">
        <v>64479</v>
      </c>
      <c r="C110" s="14">
        <v>0.41652316909722831</v>
      </c>
      <c r="D110" s="14">
        <v>0.44460526621556679</v>
      </c>
      <c r="E110" s="14">
        <v>8.5568116809111999E-3</v>
      </c>
      <c r="F110" s="14">
        <v>0.50555555555555554</v>
      </c>
      <c r="G110" s="14">
        <v>0</v>
      </c>
      <c r="H110" s="14"/>
      <c r="I110" s="14"/>
      <c r="J110" s="14">
        <f t="shared" si="7"/>
        <v>0.56162763301931828</v>
      </c>
      <c r="K110" s="14">
        <f t="shared" si="8"/>
        <v>0.51782207932881807</v>
      </c>
      <c r="L110" s="14"/>
      <c r="M110" s="14"/>
    </row>
    <row r="111" spans="1:17">
      <c r="A111">
        <v>54.5</v>
      </c>
      <c r="B111" s="4">
        <v>64662</v>
      </c>
      <c r="C111" s="14">
        <v>0.41440051403291073</v>
      </c>
      <c r="D111" s="14">
        <v>0.44267175799546321</v>
      </c>
      <c r="E111" s="14">
        <v>8.5926166609796902E-3</v>
      </c>
      <c r="F111" s="14">
        <v>0.5083333333333333</v>
      </c>
      <c r="G111" s="14">
        <v>0</v>
      </c>
      <c r="H111" s="14"/>
      <c r="I111" s="14"/>
      <c r="J111" s="14">
        <f t="shared" si="7"/>
        <v>0.56343769860626047</v>
      </c>
      <c r="K111" s="14">
        <f t="shared" si="8"/>
        <v>0.51557011368486927</v>
      </c>
      <c r="L111" s="14"/>
      <c r="M111" s="14"/>
    </row>
    <row r="112" spans="1:17">
      <c r="A112">
        <v>55</v>
      </c>
      <c r="B112" s="4">
        <v>64843</v>
      </c>
      <c r="C112" s="14">
        <v>0.41232330304732701</v>
      </c>
      <c r="D112" s="14">
        <v>0.4407604879776853</v>
      </c>
      <c r="E112" s="14">
        <v>8.6246864987292293E-3</v>
      </c>
      <c r="F112" s="14">
        <v>0.50277777777777777</v>
      </c>
      <c r="G112" s="14">
        <v>0</v>
      </c>
      <c r="H112" s="14"/>
      <c r="I112" s="14"/>
      <c r="J112" s="14">
        <f t="shared" si="7"/>
        <v>0.56522565643878153</v>
      </c>
      <c r="K112" s="14">
        <f t="shared" si="8"/>
        <v>0.51334409930163794</v>
      </c>
      <c r="L112" s="14"/>
      <c r="M112" s="14"/>
    </row>
    <row r="113" spans="1:13">
      <c r="A113">
        <v>55.5</v>
      </c>
      <c r="B113" s="4">
        <v>65027</v>
      </c>
      <c r="C113" s="14">
        <v>0.41023303462068861</v>
      </c>
      <c r="D113" s="14">
        <v>0.43881938792169117</v>
      </c>
      <c r="E113" s="14">
        <v>8.6545958585986602E-3</v>
      </c>
      <c r="F113" s="14">
        <v>0.51111111111111107</v>
      </c>
      <c r="G113" s="14">
        <v>0</v>
      </c>
      <c r="H113" s="14"/>
      <c r="I113" s="14"/>
      <c r="J113" s="14">
        <f t="shared" si="7"/>
        <v>0.56704030590138677</v>
      </c>
      <c r="K113" s="14">
        <f t="shared" si="8"/>
        <v>0.51108334252538823</v>
      </c>
      <c r="L113" s="14"/>
      <c r="M113" s="14"/>
    </row>
    <row r="114" spans="1:13">
      <c r="A114">
        <v>56</v>
      </c>
      <c r="B114" s="4">
        <v>65208</v>
      </c>
      <c r="C114" s="14">
        <v>0.40819661459807471</v>
      </c>
      <c r="D114" s="14">
        <v>0.43691244865275902</v>
      </c>
      <c r="E114" s="14">
        <v>8.6809322952843097E-3</v>
      </c>
      <c r="F114" s="14">
        <v>0.50277777777777777</v>
      </c>
      <c r="G114" s="14">
        <v>0</v>
      </c>
      <c r="H114" s="14"/>
      <c r="I114" s="14"/>
      <c r="J114" s="14">
        <f t="shared" si="7"/>
        <v>0.56882191261967208</v>
      </c>
      <c r="K114" s="14">
        <f t="shared" si="8"/>
        <v>0.50886237207060803</v>
      </c>
      <c r="L114" s="14"/>
      <c r="M114" s="14"/>
    </row>
    <row r="115" spans="1:13">
      <c r="A115">
        <v>56.5</v>
      </c>
      <c r="B115" s="4">
        <v>65392</v>
      </c>
      <c r="C115" s="14">
        <v>0.40614527843017612</v>
      </c>
      <c r="D115" s="14">
        <v>0.43497715428004807</v>
      </c>
      <c r="E115" s="14">
        <v>8.7049296142755594E-3</v>
      </c>
      <c r="F115" s="14">
        <v>0.51111111111111107</v>
      </c>
      <c r="G115" s="14">
        <v>0</v>
      </c>
      <c r="H115" s="14"/>
      <c r="I115" s="14"/>
      <c r="J115" s="14">
        <f t="shared" si="7"/>
        <v>0.57062892860686798</v>
      </c>
      <c r="K115" s="14">
        <f t="shared" si="8"/>
        <v>0.50660837704668671</v>
      </c>
      <c r="L115" s="14"/>
      <c r="M115" s="14"/>
    </row>
    <row r="116" spans="1:13">
      <c r="A116">
        <v>57</v>
      </c>
      <c r="B116" s="4">
        <v>65573</v>
      </c>
      <c r="C116" s="14">
        <v>0.40414470883480152</v>
      </c>
      <c r="D116" s="14">
        <v>0.43307728307130727</v>
      </c>
      <c r="E116" s="14">
        <v>8.7253465216486307E-3</v>
      </c>
      <c r="F116" s="14">
        <v>0.50277777777777777</v>
      </c>
      <c r="G116" s="14">
        <v>0</v>
      </c>
      <c r="H116" s="14"/>
      <c r="I116" s="14"/>
      <c r="J116" s="14">
        <f t="shared" si="7"/>
        <v>0.57240187520668706</v>
      </c>
      <c r="K116" s="14">
        <f t="shared" si="8"/>
        <v>0.50439563860700709</v>
      </c>
      <c r="L116" s="14"/>
      <c r="M116" s="14"/>
    </row>
    <row r="117" spans="1:13">
      <c r="A117">
        <v>57.5</v>
      </c>
      <c r="B117" s="4">
        <v>65757</v>
      </c>
      <c r="C117" s="14">
        <v>0.40212737607779281</v>
      </c>
      <c r="D117" s="14">
        <v>0.43115052977559809</v>
      </c>
      <c r="E117" s="14">
        <v>8.7434305391164303E-3</v>
      </c>
      <c r="F117" s="14">
        <v>0.51111111111111107</v>
      </c>
      <c r="G117" s="14">
        <v>0</v>
      </c>
      <c r="H117" s="14"/>
      <c r="I117" s="14"/>
      <c r="J117" s="14">
        <f t="shared" si="7"/>
        <v>0.57419892796122274</v>
      </c>
      <c r="K117" s="14">
        <f t="shared" si="8"/>
        <v>0.50215159118864516</v>
      </c>
      <c r="L117" s="14"/>
      <c r="M117" s="14"/>
    </row>
    <row r="118" spans="1:13">
      <c r="A118">
        <v>58</v>
      </c>
      <c r="B118" s="4">
        <v>65939</v>
      </c>
      <c r="C118" s="14">
        <v>0.40014705654540328</v>
      </c>
      <c r="D118" s="14">
        <v>0.42924994370055652</v>
      </c>
      <c r="E118" s="14">
        <v>8.7580699374005203E-3</v>
      </c>
      <c r="F118" s="14">
        <v>0.50555555555555554</v>
      </c>
      <c r="G118" s="14">
        <v>0</v>
      </c>
      <c r="H118" s="14"/>
      <c r="I118" s="14"/>
      <c r="J118" s="14">
        <f t="shared" si="7"/>
        <v>0.57597065544727122</v>
      </c>
      <c r="K118" s="14">
        <f t="shared" si="8"/>
        <v>0.49993802015982181</v>
      </c>
      <c r="L118" s="14"/>
      <c r="M118" s="14"/>
    </row>
    <row r="119" spans="1:13">
      <c r="A119">
        <v>58.5</v>
      </c>
      <c r="B119" s="4">
        <v>66124</v>
      </c>
      <c r="C119" s="14">
        <v>0.39814828570278787</v>
      </c>
      <c r="D119" s="14">
        <v>0.42732401412408821</v>
      </c>
      <c r="E119" s="14">
        <v>8.77028841729857E-3</v>
      </c>
      <c r="F119" s="14">
        <v>0.51388888888888884</v>
      </c>
      <c r="G119" s="14">
        <v>0</v>
      </c>
      <c r="H119" s="14"/>
      <c r="I119" s="14"/>
      <c r="J119" s="14">
        <f t="shared" si="7"/>
        <v>0.57776509136453869</v>
      </c>
      <c r="K119" s="14">
        <f t="shared" si="8"/>
        <v>0.49769493210924182</v>
      </c>
      <c r="L119" s="14"/>
      <c r="M119" s="14"/>
    </row>
    <row r="120" spans="1:13">
      <c r="A120">
        <v>59</v>
      </c>
      <c r="B120" s="4">
        <v>66306</v>
      </c>
      <c r="C120" s="14">
        <v>0.39619474870736199</v>
      </c>
      <c r="D120" s="14">
        <v>0.42543583897085763</v>
      </c>
      <c r="E120" s="14">
        <v>8.7788841684794394E-3</v>
      </c>
      <c r="F120" s="14">
        <v>0.50555555555555554</v>
      </c>
      <c r="G120" s="14">
        <v>0</v>
      </c>
      <c r="H120" s="14"/>
      <c r="I120" s="14"/>
      <c r="J120" s="14">
        <f t="shared" si="7"/>
        <v>0.57952348831144218</v>
      </c>
      <c r="K120" s="14">
        <f t="shared" si="8"/>
        <v>0.49549581580957947</v>
      </c>
      <c r="L120" s="14"/>
      <c r="M120" s="14"/>
    </row>
    <row r="121" spans="1:13">
      <c r="A121">
        <v>59.5</v>
      </c>
      <c r="B121" s="4">
        <v>66488</v>
      </c>
      <c r="C121" s="14">
        <v>0.39425281878583501</v>
      </c>
      <c r="D121" s="14">
        <v>0.4235547524322909</v>
      </c>
      <c r="E121" s="14">
        <v>8.7850042128156895E-3</v>
      </c>
      <c r="F121" s="14">
        <v>0.50555555555555554</v>
      </c>
      <c r="G121" s="14">
        <v>0</v>
      </c>
      <c r="H121" s="14"/>
      <c r="I121" s="14"/>
      <c r="J121" s="14">
        <f t="shared" si="7"/>
        <v>0.58127448638549373</v>
      </c>
      <c r="K121" s="14">
        <f>(K122*(G122/100*I122-J121+C122))/C122</f>
        <v>0.49330489697939522</v>
      </c>
      <c r="L121" s="14"/>
      <c r="M121" s="14"/>
    </row>
    <row r="122" spans="1:13">
      <c r="A122">
        <v>60</v>
      </c>
      <c r="B122" s="4">
        <v>66670</v>
      </c>
      <c r="C122" s="14">
        <v>0.39232141315840419</v>
      </c>
      <c r="D122" s="14">
        <v>0.42168135874896218</v>
      </c>
      <c r="E122" s="14">
        <v>8.7877109154303693E-3</v>
      </c>
      <c r="F122" s="14">
        <v>0.50555555555555554</v>
      </c>
      <c r="G122" s="14">
        <v>1.6046759333005429</v>
      </c>
      <c r="H122" s="14">
        <v>0.99722222222222223</v>
      </c>
      <c r="I122" s="14">
        <v>36.236229389371289</v>
      </c>
      <c r="J122" s="14">
        <f t="shared" si="7"/>
        <v>0.58301744334101591</v>
      </c>
      <c r="K122" s="15">
        <f>(C122*Q103)/(G122/100*I122-J121+C122)</f>
        <v>0.49305409059548599</v>
      </c>
      <c r="L122" s="15">
        <v>0.49305409059548599</v>
      </c>
      <c r="M122" s="14">
        <f>K122</f>
        <v>0.49305409059548599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2ADDF-1C63-4F25-AAC6-42DB872DD8DB}">
  <sheetPr codeName="Sheet9"/>
  <dimension ref="A1:Q122"/>
  <sheetViews>
    <sheetView zoomScaleNormal="100" workbookViewId="0">
      <pane ySplit="1" topLeftCell="A2" activePane="bottomLeft" state="frozen"/>
      <selection pane="bottomLeft" activeCell="N106" sqref="N106"/>
    </sheetView>
  </sheetViews>
  <sheetFormatPr defaultRowHeight="14.4"/>
  <cols>
    <col min="1" max="2" width="10.77734375" bestFit="1" customWidth="1"/>
    <col min="13" max="13" width="10.5546875" bestFit="1" customWidth="1"/>
    <col min="16" max="16" width="10.554687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9" t="s">
        <v>18</v>
      </c>
      <c r="M1" s="10" t="s">
        <v>19</v>
      </c>
    </row>
    <row r="2" spans="1:13">
      <c r="A2">
        <v>0</v>
      </c>
      <c r="B2" s="4">
        <v>44754</v>
      </c>
      <c r="D2">
        <v>1</v>
      </c>
      <c r="E2">
        <v>0</v>
      </c>
      <c r="F2">
        <v>0</v>
      </c>
      <c r="K2">
        <f>K3*(1+G3/100*F3)</f>
        <v>0.99999999932532013</v>
      </c>
    </row>
    <row r="3" spans="1:13">
      <c r="A3">
        <v>0.5</v>
      </c>
      <c r="B3" s="4">
        <v>44938</v>
      </c>
      <c r="C3" s="14">
        <v>0.99904288423151055</v>
      </c>
      <c r="D3" s="14">
        <v>0.99801063213993446</v>
      </c>
      <c r="E3" s="14">
        <v>3.89999999999991E-3</v>
      </c>
      <c r="F3" s="14">
        <v>0.51111111111111107</v>
      </c>
      <c r="G3" s="14">
        <v>0.39002696822228416</v>
      </c>
      <c r="H3" s="14"/>
      <c r="I3" s="14"/>
      <c r="J3" s="14">
        <f>E3*F3*C3</f>
        <v>1.9914254825680981E-3</v>
      </c>
      <c r="K3" s="14">
        <f>K4*(1+G4/100*F4)</f>
        <v>0.9980104941769089</v>
      </c>
      <c r="L3" s="14"/>
      <c r="M3" s="14">
        <f t="shared" ref="M3:M5" si="0">K3</f>
        <v>0.9980104941769089</v>
      </c>
    </row>
    <row r="4" spans="1:13">
      <c r="A4">
        <v>1</v>
      </c>
      <c r="B4" s="4">
        <v>45119</v>
      </c>
      <c r="C4" s="14">
        <v>0.99324592130854139</v>
      </c>
      <c r="D4" s="14">
        <v>0.99104474380986662</v>
      </c>
      <c r="E4" s="14">
        <v>1.3979999999904E-2</v>
      </c>
      <c r="F4" s="14">
        <v>0.50277777777777777</v>
      </c>
      <c r="G4" s="14">
        <v>1.3983391727096794</v>
      </c>
      <c r="H4" s="14">
        <v>1</v>
      </c>
      <c r="I4" s="14">
        <v>0.99324592130854139</v>
      </c>
      <c r="J4" s="14">
        <f t="shared" ref="J4:J35" si="1">J3+(E4*F4*C4)</f>
        <v>8.9727855224110108E-3</v>
      </c>
      <c r="K4" s="14">
        <f>K5*(1+G5/100*F5)</f>
        <v>0.99104292859498333</v>
      </c>
      <c r="L4" s="14"/>
      <c r="M4" s="14">
        <f t="shared" si="0"/>
        <v>0.99104292859498333</v>
      </c>
    </row>
    <row r="5" spans="1:13">
      <c r="A5">
        <v>1.5</v>
      </c>
      <c r="B5" s="4">
        <v>45303</v>
      </c>
      <c r="C5" s="14">
        <v>0.9860284425870447</v>
      </c>
      <c r="D5" s="14">
        <v>0.98259746260138792</v>
      </c>
      <c r="E5" s="14">
        <v>1.6819999999980999E-2</v>
      </c>
      <c r="F5" s="14">
        <v>0.51111111111111107</v>
      </c>
      <c r="G5" s="14">
        <v>1.6824983356402934</v>
      </c>
      <c r="H5" s="14"/>
      <c r="I5" s="14"/>
      <c r="J5" s="14">
        <f t="shared" si="1"/>
        <v>1.7449562484606416E-2</v>
      </c>
      <c r="K5" s="14">
        <f>(K6*(G6/100*I6-J5+C6)/C6)</f>
        <v>0.98259318147802543</v>
      </c>
      <c r="L5" s="14"/>
      <c r="M5" s="14">
        <f t="shared" si="0"/>
        <v>0.98259318147802543</v>
      </c>
    </row>
    <row r="6" spans="1:13">
      <c r="A6">
        <v>2</v>
      </c>
      <c r="B6" s="4">
        <v>45485</v>
      </c>
      <c r="C6" s="14">
        <v>0.97878176388692029</v>
      </c>
      <c r="D6" s="14">
        <v>0.97444692296927427</v>
      </c>
      <c r="E6" s="14">
        <v>1.6544714899334002E-2</v>
      </c>
      <c r="F6" s="14">
        <v>0.50555555555555554</v>
      </c>
      <c r="G6" s="14">
        <v>1.3011737227743372</v>
      </c>
      <c r="H6" s="14">
        <v>1</v>
      </c>
      <c r="I6" s="14">
        <v>1.9720276851954619</v>
      </c>
      <c r="J6" s="14">
        <f t="shared" si="1"/>
        <v>2.5636359907540013E-2</v>
      </c>
      <c r="K6" s="14">
        <f>K7*(1+E7*F7)</f>
        <v>0.97441982550909922</v>
      </c>
      <c r="L6" s="14"/>
      <c r="M6" s="14">
        <f>K6</f>
        <v>0.97441982550909922</v>
      </c>
    </row>
    <row r="7" spans="1:13">
      <c r="A7">
        <v>2.5</v>
      </c>
      <c r="B7" s="4">
        <v>45670</v>
      </c>
      <c r="C7" s="14">
        <v>0.9715063307647499</v>
      </c>
      <c r="D7" s="14">
        <v>0.96605078949251333</v>
      </c>
      <c r="E7" s="14">
        <v>1.69125910132602E-2</v>
      </c>
      <c r="F7" s="14">
        <v>0.51388888888888884</v>
      </c>
      <c r="G7" s="14">
        <v>0</v>
      </c>
      <c r="H7" s="14"/>
      <c r="I7" s="14"/>
      <c r="J7" s="14">
        <f t="shared" si="1"/>
        <v>3.4079908544257236E-2</v>
      </c>
      <c r="K7" s="14">
        <f>(K8*(G8/100*I8-J7+C8)/C8)</f>
        <v>0.96602392551236382</v>
      </c>
      <c r="L7" s="14"/>
      <c r="M7" s="14"/>
    </row>
    <row r="8" spans="1:13">
      <c r="A8">
        <v>3</v>
      </c>
      <c r="B8" s="4">
        <v>45852</v>
      </c>
      <c r="C8" s="14">
        <v>0.96404622206233692</v>
      </c>
      <c r="D8" s="14">
        <v>0.95729638500968794</v>
      </c>
      <c r="E8" s="14">
        <v>1.8088864371244101E-2</v>
      </c>
      <c r="F8" s="14">
        <v>0.50555555555555554</v>
      </c>
      <c r="G8" s="14">
        <v>1.4632430299798962</v>
      </c>
      <c r="H8" s="14">
        <v>1.005555555555556</v>
      </c>
      <c r="I8" s="14">
        <v>2.9414297196025889</v>
      </c>
      <c r="J8" s="14">
        <f t="shared" si="1"/>
        <v>4.2896039786607928E-2</v>
      </c>
      <c r="K8" s="14">
        <f>K9*(1+E9*F9)</f>
        <v>0.95712787152142165</v>
      </c>
      <c r="L8" s="14"/>
      <c r="M8" s="14">
        <f t="shared" ref="M8" si="2">K8</f>
        <v>0.95712787152142165</v>
      </c>
    </row>
    <row r="9" spans="1:13">
      <c r="A9">
        <v>3.5</v>
      </c>
      <c r="B9" s="4">
        <v>46034</v>
      </c>
      <c r="C9" s="14">
        <v>0.95592389246503651</v>
      </c>
      <c r="D9" s="14">
        <v>0.94796491452005915</v>
      </c>
      <c r="E9" s="14">
        <v>1.9479741902559099E-2</v>
      </c>
      <c r="F9" s="14">
        <v>0.50555555555555554</v>
      </c>
      <c r="G9" s="14">
        <v>0</v>
      </c>
      <c r="H9" s="14"/>
      <c r="I9" s="14"/>
      <c r="J9" s="14">
        <f t="shared" si="1"/>
        <v>5.2310065975705033E-2</v>
      </c>
      <c r="K9" s="14">
        <f>(K10*(G10/100*I10-J9+C10)/C10)</f>
        <v>0.947793910144063</v>
      </c>
      <c r="L9" s="14"/>
      <c r="M9" s="14"/>
    </row>
    <row r="10" spans="1:13">
      <c r="A10">
        <v>4</v>
      </c>
      <c r="B10" s="4">
        <v>46216</v>
      </c>
      <c r="C10" s="14">
        <v>0.94713494159022615</v>
      </c>
      <c r="D10" s="14">
        <v>0.93807952562658103</v>
      </c>
      <c r="E10" s="14">
        <v>2.0844199194661701E-2</v>
      </c>
      <c r="F10" s="14">
        <v>0.50555555555555554</v>
      </c>
      <c r="G10" s="14">
        <v>1.607630549095431</v>
      </c>
      <c r="H10" s="14">
        <v>0.99722222222222223</v>
      </c>
      <c r="I10" s="14">
        <v>3.885933730799509</v>
      </c>
      <c r="J10" s="14">
        <f t="shared" si="1"/>
        <v>6.2290879943441235E-2</v>
      </c>
      <c r="K10" s="14">
        <f>K11*(1+E11*F11)</f>
        <v>0.93773338350351676</v>
      </c>
      <c r="L10" s="14"/>
      <c r="M10" s="14">
        <f t="shared" ref="M10" si="3">K10</f>
        <v>0.93773338350351676</v>
      </c>
    </row>
    <row r="11" spans="1:13">
      <c r="A11">
        <v>4.5</v>
      </c>
      <c r="B11" s="4">
        <v>46399</v>
      </c>
      <c r="C11" s="14">
        <v>0.9377546742182391</v>
      </c>
      <c r="D11" s="14">
        <v>0.92766793341618325</v>
      </c>
      <c r="E11" s="14">
        <v>2.2082122249332401E-2</v>
      </c>
      <c r="F11" s="14">
        <v>0.5083333333333333</v>
      </c>
      <c r="G11" s="14">
        <v>0</v>
      </c>
      <c r="H11" s="14"/>
      <c r="I11" s="14"/>
      <c r="J11" s="14">
        <f t="shared" si="1"/>
        <v>7.2817250066059339E-2</v>
      </c>
      <c r="K11" s="14">
        <f>(K12*(G12/100*I12-J11+C12)/C12)</f>
        <v>0.92732409742741018</v>
      </c>
      <c r="L11" s="14"/>
      <c r="M11" s="14"/>
    </row>
    <row r="12" spans="1:13">
      <c r="A12">
        <v>5</v>
      </c>
      <c r="B12" s="4">
        <v>46580</v>
      </c>
      <c r="C12" s="14">
        <v>0.92824283734542401</v>
      </c>
      <c r="D12" s="14">
        <v>0.91712844122432902</v>
      </c>
      <c r="E12" s="14">
        <v>2.2856695926326401E-2</v>
      </c>
      <c r="F12" s="14">
        <v>0.50277777777777777</v>
      </c>
      <c r="G12" s="14">
        <v>1.7403616363704943</v>
      </c>
      <c r="H12" s="14">
        <v>0.99722222222222223</v>
      </c>
      <c r="I12" s="14">
        <v>4.811598115818974</v>
      </c>
      <c r="J12" s="14">
        <f t="shared" si="1"/>
        <v>8.3484467106331728E-2</v>
      </c>
      <c r="K12" s="14">
        <f>K13*(1+E13*F13)</f>
        <v>0.91653984043345116</v>
      </c>
      <c r="L12" s="14"/>
      <c r="M12" s="14">
        <f t="shared" ref="M12" si="4">K12</f>
        <v>0.91653984043345116</v>
      </c>
    </row>
    <row r="13" spans="1:13">
      <c r="A13">
        <v>5.5</v>
      </c>
      <c r="B13" s="4">
        <v>46764</v>
      </c>
      <c r="C13" s="14">
        <v>0.9185963965955859</v>
      </c>
      <c r="D13" s="14">
        <v>0.90637502877283138</v>
      </c>
      <c r="E13" s="14">
        <v>2.3212560544255901E-2</v>
      </c>
      <c r="F13" s="14">
        <v>0.51111111111111107</v>
      </c>
      <c r="G13" s="14">
        <v>0</v>
      </c>
      <c r="H13" s="14"/>
      <c r="I13" s="14"/>
      <c r="J13" s="14">
        <f t="shared" si="1"/>
        <v>9.438287628076146E-2</v>
      </c>
      <c r="K13" s="14">
        <f>(K14*(G14/100*I14-J13+C14)/C14)</f>
        <v>0.90579332937851809</v>
      </c>
      <c r="L13" s="14"/>
      <c r="M13" s="14"/>
    </row>
    <row r="14" spans="1:13">
      <c r="A14">
        <v>6</v>
      </c>
      <c r="B14" s="4">
        <v>46946</v>
      </c>
      <c r="C14" s="14">
        <v>0.90901718303320767</v>
      </c>
      <c r="D14" s="14">
        <v>0.89571111788568369</v>
      </c>
      <c r="E14" s="14">
        <v>2.3549389624901301E-2</v>
      </c>
      <c r="F14" s="14">
        <v>0.50555555555555554</v>
      </c>
      <c r="G14" s="14">
        <v>1.8463097118166021</v>
      </c>
      <c r="H14" s="14">
        <v>1</v>
      </c>
      <c r="I14" s="14">
        <v>5.7206152988521817</v>
      </c>
      <c r="J14" s="14">
        <f t="shared" si="1"/>
        <v>0.10520520285591206</v>
      </c>
      <c r="K14" s="14">
        <f>K15*(1+E15*F15)</f>
        <v>0.89473251886868055</v>
      </c>
      <c r="L14" s="14"/>
      <c r="M14" s="14">
        <f t="shared" ref="M14" si="5">K14</f>
        <v>0.89473251886868055</v>
      </c>
    </row>
    <row r="15" spans="1:13">
      <c r="A15">
        <v>6.5</v>
      </c>
      <c r="B15" s="4">
        <v>47130</v>
      </c>
      <c r="C15" s="14">
        <v>0.89917826917514665</v>
      </c>
      <c r="D15" s="14">
        <v>0.88485868785708344</v>
      </c>
      <c r="E15" s="14">
        <v>2.39959391987998E-2</v>
      </c>
      <c r="F15" s="14">
        <v>0.51111111111111107</v>
      </c>
      <c r="G15" s="14">
        <v>0</v>
      </c>
      <c r="H15" s="14"/>
      <c r="I15" s="14"/>
      <c r="J15" s="14">
        <f t="shared" si="1"/>
        <v>0.11623325669476103</v>
      </c>
      <c r="K15" s="14">
        <f>(K16*(G16/100*I16-J15+C16)/C16)</f>
        <v>0.8838919455393508</v>
      </c>
      <c r="L15" s="14"/>
      <c r="M15" s="14"/>
    </row>
    <row r="16" spans="1:13">
      <c r="A16">
        <v>7</v>
      </c>
      <c r="B16" s="4">
        <v>47311</v>
      </c>
      <c r="C16" s="14">
        <v>0.8893123052047649</v>
      </c>
      <c r="D16" s="14">
        <v>0.8740370041426615</v>
      </c>
      <c r="E16" s="14">
        <v>2.4625720319847801E-2</v>
      </c>
      <c r="F16" s="14">
        <v>0.50277777777777777</v>
      </c>
      <c r="G16" s="14">
        <v>1.9344543146558515</v>
      </c>
      <c r="H16" s="14">
        <v>1</v>
      </c>
      <c r="I16" s="14">
        <v>6.6099276040569466</v>
      </c>
      <c r="J16" s="14">
        <f t="shared" si="1"/>
        <v>0.12724406795864956</v>
      </c>
      <c r="K16" s="14">
        <f>K17*(1+E17*F17)</f>
        <v>0.87247935820135825</v>
      </c>
      <c r="L16" s="14"/>
      <c r="M16" s="14">
        <f t="shared" ref="M16" si="6">K16</f>
        <v>0.87247935820135825</v>
      </c>
    </row>
    <row r="17" spans="1:13">
      <c r="A17">
        <v>7.5</v>
      </c>
      <c r="B17" s="4">
        <v>47497</v>
      </c>
      <c r="C17" s="14">
        <v>0.87897161571716564</v>
      </c>
      <c r="D17" s="14">
        <v>0.86271292715050496</v>
      </c>
      <c r="E17" s="14">
        <v>2.5405401590895899E-2</v>
      </c>
      <c r="F17" s="14">
        <v>0.51666666666666672</v>
      </c>
      <c r="G17" s="14">
        <v>0</v>
      </c>
      <c r="H17" s="14"/>
      <c r="I17" s="14"/>
      <c r="J17" s="14">
        <f t="shared" si="1"/>
        <v>0.13878155851553439</v>
      </c>
      <c r="K17" s="14">
        <f>(K18*(G18/100*I18-J17+C18)/C18)</f>
        <v>0.86117546216547958</v>
      </c>
      <c r="L17" s="14"/>
      <c r="M17" s="14"/>
    </row>
    <row r="18" spans="1:13">
      <c r="A18">
        <v>8</v>
      </c>
      <c r="B18" s="4">
        <v>47676</v>
      </c>
      <c r="C18" s="14">
        <v>0.86884980767765363</v>
      </c>
      <c r="D18" s="14">
        <v>0.85168947472002765</v>
      </c>
      <c r="E18" s="14">
        <v>2.6037552195365E-2</v>
      </c>
      <c r="F18" s="14">
        <v>0.49722222222222218</v>
      </c>
      <c r="G18" s="14">
        <v>2.0178818973868289</v>
      </c>
      <c r="H18" s="14">
        <v>1</v>
      </c>
      <c r="I18" s="14">
        <v>7.4787774117346002</v>
      </c>
      <c r="J18" s="14">
        <f t="shared" si="1"/>
        <v>0.15003007872915611</v>
      </c>
      <c r="K18" s="14">
        <f>K19*(1+E19*F19)</f>
        <v>0.8493168544878722</v>
      </c>
      <c r="L18" s="14"/>
      <c r="M18" s="14">
        <f t="shared" ref="M18" si="7">K18</f>
        <v>0.8493168544878722</v>
      </c>
    </row>
    <row r="19" spans="1:13">
      <c r="A19">
        <v>8.5</v>
      </c>
      <c r="B19" s="4">
        <v>47861</v>
      </c>
      <c r="C19" s="14">
        <v>0.85822803261302394</v>
      </c>
      <c r="D19" s="14">
        <v>0.84022535250532049</v>
      </c>
      <c r="E19" s="14">
        <v>2.6550689146691599E-2</v>
      </c>
      <c r="F19" s="14">
        <v>0.51388888888888884</v>
      </c>
      <c r="G19" s="14">
        <v>0</v>
      </c>
      <c r="H19" s="14"/>
      <c r="I19" s="14"/>
      <c r="J19" s="14">
        <f t="shared" si="1"/>
        <v>0.16173983138613873</v>
      </c>
      <c r="K19" s="14">
        <f>(K20*(G20/100*I20-J19+C20)/C20)</f>
        <v>0.83788466880533774</v>
      </c>
      <c r="L19" s="14"/>
      <c r="M19" s="14"/>
    </row>
    <row r="20" spans="1:13">
      <c r="A20">
        <v>9</v>
      </c>
      <c r="B20" s="4">
        <v>48043</v>
      </c>
      <c r="C20" s="14">
        <v>0.84757139217307043</v>
      </c>
      <c r="D20" s="14">
        <v>0.82878111312407454</v>
      </c>
      <c r="E20" s="14">
        <v>2.73135531920118E-2</v>
      </c>
      <c r="F20" s="14">
        <v>0.50555555555555554</v>
      </c>
      <c r="G20" s="14">
        <v>2.0976137126232932</v>
      </c>
      <c r="H20" s="14">
        <v>1.005555555555556</v>
      </c>
      <c r="I20" s="14">
        <v>8.3310575338641879</v>
      </c>
      <c r="J20" s="14">
        <f t="shared" si="1"/>
        <v>0.1734435366843462</v>
      </c>
      <c r="K20" s="14">
        <f>K21*(1+E21*F21)</f>
        <v>0.82521436378446988</v>
      </c>
      <c r="L20" s="14"/>
      <c r="M20" s="14">
        <f t="shared" ref="M20" si="8">K20</f>
        <v>0.82521436378446988</v>
      </c>
    </row>
    <row r="21" spans="1:13">
      <c r="A21">
        <v>9.5</v>
      </c>
      <c r="B21" s="4">
        <v>48225</v>
      </c>
      <c r="C21" s="14">
        <v>0.83669069416023167</v>
      </c>
      <c r="D21" s="14">
        <v>0.81711882271219038</v>
      </c>
      <c r="E21" s="14">
        <v>2.8236771671545199E-2</v>
      </c>
      <c r="F21" s="14">
        <v>0.50555555555555554</v>
      </c>
      <c r="G21" s="14">
        <v>0</v>
      </c>
      <c r="H21" s="14"/>
      <c r="I21" s="14"/>
      <c r="J21" s="14">
        <f t="shared" si="1"/>
        <v>0.18538751119687136</v>
      </c>
      <c r="K21" s="14">
        <f>(K22*(G22/100*I22-J21+C22)/C22)</f>
        <v>0.81360001465137766</v>
      </c>
      <c r="L21" s="14"/>
      <c r="M21" s="14"/>
    </row>
    <row r="22" spans="1:13">
      <c r="A22">
        <v>10</v>
      </c>
      <c r="B22" s="4">
        <v>48407</v>
      </c>
      <c r="C22" s="14">
        <v>0.8257303052243582</v>
      </c>
      <c r="D22" s="14">
        <v>0.80547248666946025</v>
      </c>
      <c r="E22" s="14">
        <v>2.8600242760871801E-2</v>
      </c>
      <c r="F22" s="14">
        <v>0.50555555555555554</v>
      </c>
      <c r="G22" s="14">
        <v>2.1736415815801302</v>
      </c>
      <c r="H22" s="14">
        <v>0.99444444444444446</v>
      </c>
      <c r="I22" s="14">
        <v>9.152200448503967</v>
      </c>
      <c r="J22" s="14">
        <f t="shared" si="1"/>
        <v>0.19732675527344198</v>
      </c>
      <c r="K22" s="14">
        <f>K23*(1+E23*F23)</f>
        <v>0.80046602574818715</v>
      </c>
      <c r="L22" s="14"/>
      <c r="M22" s="14">
        <f t="shared" ref="M22" si="9">K22</f>
        <v>0.80046602574818715</v>
      </c>
    </row>
    <row r="23" spans="1:13">
      <c r="A23">
        <v>10.5</v>
      </c>
      <c r="B23" s="4">
        <v>48591</v>
      </c>
      <c r="C23" s="14">
        <v>0.8146912703004634</v>
      </c>
      <c r="D23" s="14">
        <v>0.79392771566848708</v>
      </c>
      <c r="E23" s="14">
        <v>2.8450443271989499E-2</v>
      </c>
      <c r="F23" s="14">
        <v>0.51111111111111107</v>
      </c>
      <c r="G23" s="14">
        <v>0</v>
      </c>
      <c r="H23" s="14"/>
      <c r="I23" s="14"/>
      <c r="J23" s="14">
        <f t="shared" si="1"/>
        <v>0.20917345613359695</v>
      </c>
      <c r="K23" s="14">
        <f>(K24*(G24/100*I24-J23+C24)/C24)</f>
        <v>0.78899301194043658</v>
      </c>
      <c r="L23" s="14"/>
      <c r="M23" s="14"/>
    </row>
    <row r="24" spans="1:13">
      <c r="A24">
        <v>11</v>
      </c>
      <c r="B24" s="4">
        <v>48772</v>
      </c>
      <c r="C24" s="14">
        <v>0.8037668893231964</v>
      </c>
      <c r="D24" s="14">
        <v>0.78267545028228147</v>
      </c>
      <c r="E24" s="14">
        <v>2.8594478516200401E-2</v>
      </c>
      <c r="F24" s="14">
        <v>0.50277777777777777</v>
      </c>
      <c r="G24" s="14">
        <v>2.2378439663729677</v>
      </c>
      <c r="H24" s="14">
        <v>1</v>
      </c>
      <c r="I24" s="14">
        <v>9.9559673378271629</v>
      </c>
      <c r="J24" s="14">
        <f t="shared" si="1"/>
        <v>0.22072894614423624</v>
      </c>
      <c r="K24" s="14">
        <f>K25*(1+E25*F25)</f>
        <v>0.77584085931232916</v>
      </c>
      <c r="L24" s="14"/>
      <c r="M24" s="14">
        <f t="shared" ref="M24" si="10">K24</f>
        <v>0.77584085931232916</v>
      </c>
    </row>
    <row r="25" spans="1:13">
      <c r="A25">
        <v>11.5</v>
      </c>
      <c r="B25" s="4">
        <v>48956</v>
      </c>
      <c r="C25" s="14">
        <v>0.79251290448087985</v>
      </c>
      <c r="D25" s="14">
        <v>0.77121663179798594</v>
      </c>
      <c r="E25" s="14">
        <v>2.90702074422408E-2</v>
      </c>
      <c r="F25" s="14">
        <v>0.51111111111111107</v>
      </c>
      <c r="G25" s="14">
        <v>0</v>
      </c>
      <c r="H25" s="14"/>
      <c r="I25" s="14"/>
      <c r="J25" s="14">
        <f t="shared" si="1"/>
        <v>0.23250418690601346</v>
      </c>
      <c r="K25" s="14">
        <f>(K26*(G26/100*I26-J25+C26)/C26)</f>
        <v>0.76448210316844678</v>
      </c>
      <c r="L25" s="14"/>
      <c r="M25" s="14"/>
    </row>
    <row r="26" spans="1:13">
      <c r="A26">
        <v>12</v>
      </c>
      <c r="B26" s="4">
        <v>49137</v>
      </c>
      <c r="C26" s="14">
        <v>0.78150798192835358</v>
      </c>
      <c r="D26" s="14">
        <v>0.76007457235941267</v>
      </c>
      <c r="E26" s="14">
        <v>2.9156352552981098E-2</v>
      </c>
      <c r="F26" s="14">
        <v>0.50277777777777777</v>
      </c>
      <c r="G26" s="14">
        <v>2.2962688595913376</v>
      </c>
      <c r="H26" s="14">
        <v>1</v>
      </c>
      <c r="I26" s="14">
        <v>10.73747531975552</v>
      </c>
      <c r="J26" s="14">
        <f t="shared" si="1"/>
        <v>0.24396044225650515</v>
      </c>
      <c r="K26" s="14">
        <f>K27*(1+E27*F27)</f>
        <v>0.75097420418291538</v>
      </c>
      <c r="L26" s="14"/>
      <c r="M26" s="14">
        <f t="shared" ref="M26" si="11">K26</f>
        <v>0.75097420418291538</v>
      </c>
    </row>
    <row r="27" spans="1:13">
      <c r="A27">
        <v>12.5</v>
      </c>
      <c r="B27" s="4">
        <v>49321</v>
      </c>
      <c r="C27" s="14">
        <v>0.77061478256932514</v>
      </c>
      <c r="D27" s="14">
        <v>0.74906175653772222</v>
      </c>
      <c r="E27" s="14">
        <v>2.8765069603566101E-2</v>
      </c>
      <c r="F27" s="14">
        <v>0.51111111111111107</v>
      </c>
      <c r="G27" s="14">
        <v>0</v>
      </c>
      <c r="H27" s="14"/>
      <c r="I27" s="14"/>
      <c r="J27" s="14">
        <f t="shared" si="1"/>
        <v>0.25529013382844523</v>
      </c>
      <c r="K27" s="14">
        <f>(K28*(G28/100*I28-J27+C28)/C28)</f>
        <v>0.74009324473727256</v>
      </c>
      <c r="L27" s="14"/>
      <c r="M27" s="14"/>
    </row>
    <row r="28" spans="1:13">
      <c r="A28">
        <v>13</v>
      </c>
      <c r="B28" s="4">
        <v>49502</v>
      </c>
      <c r="C28" s="14">
        <v>0.76021383187024028</v>
      </c>
      <c r="D28" s="14">
        <v>0.73859675986976769</v>
      </c>
      <c r="E28" s="14">
        <v>2.81809495309472E-2</v>
      </c>
      <c r="F28" s="14">
        <v>0.50277777777777777</v>
      </c>
      <c r="G28" s="14">
        <v>2.3417171679405677</v>
      </c>
      <c r="H28" s="14">
        <v>1</v>
      </c>
      <c r="I28" s="14">
        <v>11.49768915162576</v>
      </c>
      <c r="J28" s="14">
        <f t="shared" si="1"/>
        <v>0.26606141749730089</v>
      </c>
      <c r="K28" s="14">
        <f>K29*(1+E29*F29)</f>
        <v>0.7267541483607205</v>
      </c>
      <c r="L28" s="14"/>
      <c r="M28" s="14">
        <f t="shared" ref="M28" si="12">K28</f>
        <v>0.7267541483607205</v>
      </c>
    </row>
    <row r="29" spans="1:13">
      <c r="A29">
        <v>13.5</v>
      </c>
      <c r="B29" s="4">
        <v>49688</v>
      </c>
      <c r="C29" s="14">
        <v>0.7498602714689413</v>
      </c>
      <c r="D29" s="14">
        <v>0.72826345785213376</v>
      </c>
      <c r="E29" s="14">
        <v>2.7462505736529301E-2</v>
      </c>
      <c r="F29" s="14">
        <v>0.51666666666666672</v>
      </c>
      <c r="G29" s="14">
        <v>0</v>
      </c>
      <c r="H29" s="14"/>
      <c r="I29" s="14"/>
      <c r="J29" s="14">
        <f t="shared" si="1"/>
        <v>0.27670115586748667</v>
      </c>
      <c r="K29" s="14">
        <f>(K30*(G30/100*I30-J29+C30)/C30)</f>
        <v>0.71658652982296278</v>
      </c>
      <c r="L29" s="14"/>
      <c r="M29" s="14"/>
    </row>
    <row r="30" spans="1:13">
      <c r="A30">
        <v>14</v>
      </c>
      <c r="B30" s="4">
        <v>49870</v>
      </c>
      <c r="C30" s="14">
        <v>0.74018567472833596</v>
      </c>
      <c r="D30" s="14">
        <v>0.71863740591193315</v>
      </c>
      <c r="E30" s="14">
        <v>2.6495339851027901E-2</v>
      </c>
      <c r="F30" s="14">
        <v>0.50555555555555554</v>
      </c>
      <c r="G30" s="14">
        <v>2.3730576477471352</v>
      </c>
      <c r="H30" s="14">
        <v>1.005555555555556</v>
      </c>
      <c r="I30" s="14">
        <v>12.241986968991471</v>
      </c>
      <c r="J30" s="14">
        <f t="shared" si="1"/>
        <v>0.28661584398657475</v>
      </c>
      <c r="K30" s="14">
        <f>K31*(1+E31*F31)</f>
        <v>0.70346333727621491</v>
      </c>
      <c r="L30" s="14"/>
      <c r="M30" s="14">
        <f t="shared" ref="M30" si="13">K30</f>
        <v>0.70346333727621491</v>
      </c>
    </row>
    <row r="31" spans="1:13">
      <c r="A31">
        <v>14.5</v>
      </c>
      <c r="B31" s="4">
        <v>50052</v>
      </c>
      <c r="C31" s="14">
        <v>0.73104788279616695</v>
      </c>
      <c r="D31" s="14">
        <v>0.7095309602972194</v>
      </c>
      <c r="E31" s="14">
        <v>2.5383289016291E-2</v>
      </c>
      <c r="F31" s="14">
        <v>0.50555555555555554</v>
      </c>
      <c r="G31" s="14">
        <v>0</v>
      </c>
      <c r="H31" s="14"/>
      <c r="I31" s="14"/>
      <c r="J31" s="14">
        <f t="shared" si="1"/>
        <v>0.29599713494286589</v>
      </c>
      <c r="K31" s="14">
        <f>(K32*(G32/100*I32-J31+C32)/C32)</f>
        <v>0.69455040613031427</v>
      </c>
      <c r="L31" s="14"/>
      <c r="M31" s="14"/>
    </row>
    <row r="32" spans="1:13">
      <c r="A32">
        <v>15</v>
      </c>
      <c r="B32" s="4">
        <v>50234</v>
      </c>
      <c r="C32" s="14">
        <v>0.72227737271592507</v>
      </c>
      <c r="D32" s="14">
        <v>0.700838160456415</v>
      </c>
      <c r="E32" s="14">
        <v>2.4534264978464001E-2</v>
      </c>
      <c r="F32" s="14">
        <v>0.50555555555555554</v>
      </c>
      <c r="G32" s="14">
        <v>2.3870416439267848</v>
      </c>
      <c r="H32" s="14">
        <v>0.99722222222222223</v>
      </c>
      <c r="I32" s="14">
        <v>12.962258015672081</v>
      </c>
      <c r="J32" s="14">
        <f t="shared" si="1"/>
        <v>0.30495585463711411</v>
      </c>
      <c r="K32" s="14">
        <f>K33*(1+E33*F33)</f>
        <v>0.68188342115982381</v>
      </c>
      <c r="L32" s="14"/>
      <c r="M32" s="14">
        <f t="shared" ref="M32" si="14">K32</f>
        <v>0.68188342115982381</v>
      </c>
    </row>
    <row r="33" spans="1:13">
      <c r="A33">
        <v>15.5</v>
      </c>
      <c r="B33" s="4">
        <v>50417</v>
      </c>
      <c r="C33" s="14">
        <v>0.71366212197997081</v>
      </c>
      <c r="D33" s="14">
        <v>0.69241736243795082</v>
      </c>
      <c r="E33" s="14">
        <v>2.3922987110430501E-2</v>
      </c>
      <c r="F33" s="14">
        <v>0.5083333333333333</v>
      </c>
      <c r="G33" s="14">
        <v>0</v>
      </c>
      <c r="H33" s="14"/>
      <c r="I33" s="14"/>
      <c r="J33" s="14">
        <f t="shared" si="1"/>
        <v>0.31363459392432319</v>
      </c>
      <c r="K33" s="14">
        <f>(K34*(G34/100*I34-J33+C34)/C34)</f>
        <v>0.67369076758885627</v>
      </c>
      <c r="L33" s="14"/>
      <c r="M33" s="14"/>
    </row>
    <row r="34" spans="1:13">
      <c r="A34">
        <v>16</v>
      </c>
      <c r="B34" s="4">
        <v>50598</v>
      </c>
      <c r="C34" s="14">
        <v>0.70541109112485312</v>
      </c>
      <c r="D34" s="14">
        <v>0.68446812486706743</v>
      </c>
      <c r="E34" s="14">
        <v>2.3099159315272899E-2</v>
      </c>
      <c r="F34" s="14">
        <v>0.50277777777777777</v>
      </c>
      <c r="G34" s="14">
        <v>2.3918277908587045</v>
      </c>
      <c r="H34" s="14">
        <v>0.99722222222222223</v>
      </c>
      <c r="I34" s="14">
        <v>13.6657096315438</v>
      </c>
      <c r="J34" s="14">
        <f t="shared" si="1"/>
        <v>0.32182705774369619</v>
      </c>
      <c r="K34" s="14">
        <f>K35*(1+E35*F35)</f>
        <v>0.66129229738175832</v>
      </c>
      <c r="L34" s="14"/>
      <c r="M34" s="14">
        <f t="shared" ref="M34" si="15">K34</f>
        <v>0.66129229738175832</v>
      </c>
    </row>
    <row r="35" spans="1:13">
      <c r="A35">
        <v>16.5</v>
      </c>
      <c r="B35" s="4">
        <v>50782</v>
      </c>
      <c r="C35" s="14">
        <v>0.69740868440821069</v>
      </c>
      <c r="D35" s="14">
        <v>0.67685350673892697</v>
      </c>
      <c r="E35" s="14">
        <v>2.2010916327615201E-2</v>
      </c>
      <c r="F35" s="14">
        <v>0.51111111111111107</v>
      </c>
      <c r="G35" s="14">
        <v>0</v>
      </c>
      <c r="H35" s="14"/>
      <c r="I35" s="14"/>
      <c r="J35" s="14">
        <f t="shared" si="1"/>
        <v>0.32967292211190086</v>
      </c>
      <c r="K35" s="14">
        <f>(K36*(G36/100*I36-J35+C36)/C36)</f>
        <v>0.65393550729511885</v>
      </c>
      <c r="L35" s="14"/>
      <c r="M35" s="14"/>
    </row>
    <row r="36" spans="1:13">
      <c r="A36">
        <v>17</v>
      </c>
      <c r="B36" s="4">
        <v>50963</v>
      </c>
      <c r="C36" s="14">
        <v>0.68996315335641056</v>
      </c>
      <c r="D36" s="14">
        <v>0.66981104102760358</v>
      </c>
      <c r="E36" s="14">
        <v>2.0912038267508801E-2</v>
      </c>
      <c r="F36" s="14">
        <v>0.50277777777777777</v>
      </c>
      <c r="G36" s="14">
        <v>2.3863137609559719</v>
      </c>
      <c r="H36" s="14">
        <v>1</v>
      </c>
      <c r="I36" s="14">
        <v>14.355672784900211</v>
      </c>
      <c r="J36" s="14">
        <f t="shared" ref="J36:J67" si="16">J35+(E36*F36*C36)</f>
        <v>0.33692726931127592</v>
      </c>
      <c r="K36" s="14">
        <f>K37*(1+E37*F37)</f>
        <v>0.64193489552627814</v>
      </c>
      <c r="L36" s="14"/>
      <c r="M36" s="14">
        <f t="shared" ref="M36" si="17">K36</f>
        <v>0.64193489552627814</v>
      </c>
    </row>
    <row r="37" spans="1:13">
      <c r="A37">
        <v>17.5</v>
      </c>
      <c r="B37" s="4">
        <v>51147</v>
      </c>
      <c r="C37" s="14">
        <v>0.68282994441576605</v>
      </c>
      <c r="D37" s="14">
        <v>0.66306691465186141</v>
      </c>
      <c r="E37" s="14">
        <v>1.9899997381878601E-2</v>
      </c>
      <c r="F37" s="14">
        <v>0.51111111111111107</v>
      </c>
      <c r="G37" s="14">
        <v>0</v>
      </c>
      <c r="H37" s="14"/>
      <c r="I37" s="14"/>
      <c r="J37" s="14">
        <f t="shared" si="16"/>
        <v>0.34387240763219296</v>
      </c>
      <c r="K37" s="14">
        <f>(K38*(G38/100*I38-J37+C38)/C38)</f>
        <v>0.63547144569453728</v>
      </c>
      <c r="L37" s="14"/>
      <c r="M37" s="14"/>
    </row>
    <row r="38" spans="1:13">
      <c r="A38">
        <v>18</v>
      </c>
      <c r="B38" s="4">
        <v>51329</v>
      </c>
      <c r="C38" s="14">
        <v>0.67609185802575111</v>
      </c>
      <c r="D38" s="14">
        <v>0.65673579124496839</v>
      </c>
      <c r="E38" s="14">
        <v>1.90687052713602E-2</v>
      </c>
      <c r="F38" s="14">
        <v>0.50555555555555554</v>
      </c>
      <c r="G38" s="14">
        <v>2.3724601475072102</v>
      </c>
      <c r="H38" s="14">
        <v>1</v>
      </c>
      <c r="I38" s="14">
        <v>15.031764642925969</v>
      </c>
      <c r="J38" s="14">
        <f t="shared" si="16"/>
        <v>0.35039012913392853</v>
      </c>
      <c r="K38" s="14">
        <f>K39*(1+E39*F39)</f>
        <v>0.62370909879373115</v>
      </c>
      <c r="L38" s="14"/>
      <c r="M38" s="14">
        <f t="shared" ref="M38" si="18">K38</f>
        <v>0.62370909879373115</v>
      </c>
    </row>
    <row r="39" spans="1:13">
      <c r="A39">
        <v>18.5</v>
      </c>
      <c r="B39" s="4">
        <v>51515</v>
      </c>
      <c r="C39" s="14">
        <v>0.66942332733091914</v>
      </c>
      <c r="D39" s="14">
        <v>0.65055591075883357</v>
      </c>
      <c r="E39" s="14">
        <v>1.8385904743329899E-2</v>
      </c>
      <c r="F39" s="14">
        <v>0.51666666666666672</v>
      </c>
      <c r="G39" s="14">
        <v>0</v>
      </c>
      <c r="H39" s="14"/>
      <c r="I39" s="14"/>
      <c r="J39" s="14">
        <f t="shared" si="16"/>
        <v>0.35674923845738432</v>
      </c>
      <c r="K39" s="14">
        <f>(K40*(G40/100*I40-J39+C40)/C40)</f>
        <v>0.61783999931713152</v>
      </c>
      <c r="L39" s="14"/>
      <c r="M39" s="14"/>
    </row>
    <row r="40" spans="1:13">
      <c r="A40">
        <v>19</v>
      </c>
      <c r="B40" s="4">
        <v>51694</v>
      </c>
      <c r="C40" s="14">
        <v>0.66324213984716596</v>
      </c>
      <c r="D40" s="14">
        <v>0.6449111569909729</v>
      </c>
      <c r="E40" s="14">
        <v>1.75973078822565E-2</v>
      </c>
      <c r="F40" s="14">
        <v>0.49722222222222218</v>
      </c>
      <c r="G40" s="14">
        <v>2.3533592732880777</v>
      </c>
      <c r="H40" s="14">
        <v>1</v>
      </c>
      <c r="I40" s="14">
        <v>15.695006782773129</v>
      </c>
      <c r="J40" s="14">
        <f t="shared" si="16"/>
        <v>0.36255245631358574</v>
      </c>
      <c r="K40" s="14">
        <f>K41*(1+E41*F41)</f>
        <v>0.60631179431917714</v>
      </c>
      <c r="L40" s="14"/>
      <c r="M40" s="14">
        <f t="shared" ref="M40" si="19">K40</f>
        <v>0.60631179431917714</v>
      </c>
    </row>
    <row r="41" spans="1:13">
      <c r="A41">
        <v>19.5</v>
      </c>
      <c r="B41" s="4">
        <v>51879</v>
      </c>
      <c r="C41" s="14">
        <v>0.65713526584249904</v>
      </c>
      <c r="D41" s="14">
        <v>0.63940852927721736</v>
      </c>
      <c r="E41" s="14">
        <v>1.6746439250249601E-2</v>
      </c>
      <c r="F41" s="14">
        <v>0.51388888888888884</v>
      </c>
      <c r="G41" s="14">
        <v>0</v>
      </c>
      <c r="H41" s="14"/>
      <c r="I41" s="14"/>
      <c r="J41" s="14">
        <f t="shared" si="16"/>
        <v>0.36820763693746406</v>
      </c>
      <c r="K41" s="14">
        <f>(K42*(G42/100*I42-J41+C42)/C42)</f>
        <v>0.60113851107476235</v>
      </c>
      <c r="L41" s="14"/>
      <c r="M41" s="14"/>
    </row>
    <row r="42" spans="1:13">
      <c r="A42">
        <v>20</v>
      </c>
      <c r="B42" s="4">
        <v>52061</v>
      </c>
      <c r="C42" s="14">
        <v>0.65135462223894658</v>
      </c>
      <c r="D42" s="14">
        <v>0.63424325968494244</v>
      </c>
      <c r="E42" s="14">
        <v>1.6108987553141298E-2</v>
      </c>
      <c r="F42" s="14">
        <v>0.50555555555555554</v>
      </c>
      <c r="G42" s="14">
        <v>2.3300083276521746</v>
      </c>
      <c r="H42" s="14">
        <v>1.005555555555556</v>
      </c>
      <c r="I42" s="14">
        <v>16.34998004180229</v>
      </c>
      <c r="J42" s="14">
        <f t="shared" si="16"/>
        <v>0.37351226126364112</v>
      </c>
      <c r="K42" s="15">
        <f t="shared" ref="K42:K60" si="20">K43*(1+E43*F43)</f>
        <v>0.58959892886868281</v>
      </c>
      <c r="L42" s="15">
        <v>0.58959892886868304</v>
      </c>
      <c r="M42" s="14">
        <f>K42</f>
        <v>0.58959892886868281</v>
      </c>
    </row>
    <row r="43" spans="1:13">
      <c r="A43">
        <v>20.5</v>
      </c>
      <c r="B43" s="4">
        <v>52243</v>
      </c>
      <c r="C43" s="14">
        <v>0.64573914209288952</v>
      </c>
      <c r="D43" s="14">
        <v>0.62923895877524105</v>
      </c>
      <c r="E43" s="14">
        <v>1.57299670783482E-2</v>
      </c>
      <c r="F43" s="14">
        <v>0.50555555555555554</v>
      </c>
      <c r="G43" s="14">
        <v>0</v>
      </c>
      <c r="H43" s="14"/>
      <c r="I43" s="14"/>
      <c r="J43" s="14">
        <f t="shared" si="16"/>
        <v>0.37864741929483725</v>
      </c>
      <c r="K43" s="14">
        <f t="shared" si="20"/>
        <v>0.58494721090380475</v>
      </c>
      <c r="L43" s="14"/>
      <c r="M43" s="14"/>
    </row>
    <row r="44" spans="1:13">
      <c r="A44">
        <v>21</v>
      </c>
      <c r="B44" s="4">
        <v>52425</v>
      </c>
      <c r="C44" s="14">
        <v>0.6402741031535254</v>
      </c>
      <c r="D44" s="14">
        <v>0.62437792638072032</v>
      </c>
      <c r="E44" s="14">
        <v>1.53996938488435E-2</v>
      </c>
      <c r="F44" s="14">
        <v>0.50555555555555554</v>
      </c>
      <c r="G44" s="14">
        <v>0</v>
      </c>
      <c r="H44" s="14"/>
      <c r="I44" s="14"/>
      <c r="J44" s="14">
        <f t="shared" si="16"/>
        <v>0.38363220979639029</v>
      </c>
      <c r="K44" s="14">
        <f t="shared" si="20"/>
        <v>0.58042834362511231</v>
      </c>
      <c r="L44" s="14"/>
      <c r="M44" s="14"/>
    </row>
    <row r="45" spans="1:13">
      <c r="A45">
        <v>21.5</v>
      </c>
      <c r="B45" s="4">
        <v>52608</v>
      </c>
      <c r="C45" s="14">
        <v>0.634927113266328</v>
      </c>
      <c r="D45" s="14">
        <v>0.61963339874338974</v>
      </c>
      <c r="E45" s="14">
        <v>1.5062316009954399E-2</v>
      </c>
      <c r="F45" s="14">
        <v>0.5083333333333333</v>
      </c>
      <c r="G45" s="14">
        <v>0</v>
      </c>
      <c r="H45" s="14"/>
      <c r="I45" s="14"/>
      <c r="J45" s="14">
        <f t="shared" si="16"/>
        <v>0.38849364181490392</v>
      </c>
      <c r="K45" s="14">
        <f t="shared" si="20"/>
        <v>0.57601795998359884</v>
      </c>
      <c r="L45" s="14"/>
      <c r="M45" s="14"/>
    </row>
    <row r="46" spans="1:13">
      <c r="A46">
        <v>22</v>
      </c>
      <c r="B46" s="4">
        <v>52790</v>
      </c>
      <c r="C46" s="14">
        <v>0.62975313698155089</v>
      </c>
      <c r="D46" s="14">
        <v>0.61505604443203954</v>
      </c>
      <c r="E46" s="14">
        <v>1.47207844081999E-2</v>
      </c>
      <c r="F46" s="14">
        <v>0.50555555555555554</v>
      </c>
      <c r="G46" s="14">
        <v>0</v>
      </c>
      <c r="H46" s="14"/>
      <c r="I46" s="14"/>
      <c r="J46" s="14">
        <f t="shared" si="16"/>
        <v>0.39318037445129428</v>
      </c>
      <c r="K46" s="14">
        <f t="shared" si="20"/>
        <v>0.57176280153362968</v>
      </c>
      <c r="L46" s="14"/>
      <c r="M46" s="14"/>
    </row>
    <row r="47" spans="1:13">
      <c r="A47">
        <v>22.5</v>
      </c>
      <c r="B47" s="4">
        <v>52974</v>
      </c>
      <c r="C47" s="14">
        <v>0.6246646569460953</v>
      </c>
      <c r="D47" s="14">
        <v>0.61057042362918235</v>
      </c>
      <c r="E47" s="14">
        <v>1.4373795838521899E-2</v>
      </c>
      <c r="F47" s="14">
        <v>0.51111111111111107</v>
      </c>
      <c r="G47" s="14">
        <v>0</v>
      </c>
      <c r="H47" s="14"/>
      <c r="I47" s="14"/>
      <c r="J47" s="14">
        <f t="shared" si="16"/>
        <v>0.39776954004394138</v>
      </c>
      <c r="K47" s="14">
        <f t="shared" si="20"/>
        <v>0.56759291955282998</v>
      </c>
      <c r="L47" s="14"/>
      <c r="M47" s="14"/>
    </row>
    <row r="48" spans="1:13">
      <c r="A48">
        <v>23</v>
      </c>
      <c r="B48" s="4">
        <v>53155</v>
      </c>
      <c r="C48" s="14">
        <v>0.61979555389178442</v>
      </c>
      <c r="D48" s="14">
        <v>0.60629619276544222</v>
      </c>
      <c r="E48" s="14">
        <v>1.40215834415629E-2</v>
      </c>
      <c r="F48" s="14">
        <v>0.50277777777777777</v>
      </c>
      <c r="G48" s="14">
        <v>0</v>
      </c>
      <c r="H48" s="14"/>
      <c r="I48" s="14"/>
      <c r="J48" s="14">
        <f t="shared" si="16"/>
        <v>0.40213893790139749</v>
      </c>
      <c r="K48" s="14">
        <f t="shared" si="20"/>
        <v>0.56361954796307467</v>
      </c>
      <c r="L48" s="14"/>
      <c r="M48" s="14"/>
    </row>
    <row r="49" spans="1:13">
      <c r="A49">
        <v>23.5</v>
      </c>
      <c r="B49" s="4">
        <v>53339</v>
      </c>
      <c r="C49" s="14">
        <v>0.61498122338346772</v>
      </c>
      <c r="D49" s="14">
        <v>0.60209061125679897</v>
      </c>
      <c r="E49" s="14">
        <v>1.36662347718224E-2</v>
      </c>
      <c r="F49" s="14">
        <v>0.51111111111111107</v>
      </c>
      <c r="G49" s="14">
        <v>0</v>
      </c>
      <c r="H49" s="14"/>
      <c r="I49" s="14"/>
      <c r="J49" s="14">
        <f t="shared" si="16"/>
        <v>0.40643455987734156</v>
      </c>
      <c r="K49" s="14">
        <f t="shared" si="20"/>
        <v>0.55970999356193007</v>
      </c>
      <c r="L49" s="14"/>
      <c r="M49" s="14"/>
    </row>
    <row r="50" spans="1:13">
      <c r="A50">
        <v>24</v>
      </c>
      <c r="B50" s="4">
        <v>53520</v>
      </c>
      <c r="C50" s="14">
        <v>0.61037562509683041</v>
      </c>
      <c r="D50" s="14">
        <v>0.59808983719780817</v>
      </c>
      <c r="E50" s="14">
        <v>1.3304591007762099E-2</v>
      </c>
      <c r="F50" s="14">
        <v>0.50277777777777777</v>
      </c>
      <c r="G50" s="14">
        <v>0</v>
      </c>
      <c r="H50" s="14"/>
      <c r="I50" s="14"/>
      <c r="J50" s="14">
        <f t="shared" si="16"/>
        <v>0.41051751667622127</v>
      </c>
      <c r="K50" s="14">
        <f t="shared" si="20"/>
        <v>0.55599083039789032</v>
      </c>
      <c r="L50" s="14"/>
      <c r="M50" s="14"/>
    </row>
    <row r="51" spans="1:13">
      <c r="A51">
        <v>24.5</v>
      </c>
      <c r="B51" s="4">
        <v>53706</v>
      </c>
      <c r="C51" s="14">
        <v>0.60577431036681406</v>
      </c>
      <c r="D51" s="14">
        <v>0.59411834436985755</v>
      </c>
      <c r="E51" s="14">
        <v>1.29380962311729E-2</v>
      </c>
      <c r="F51" s="14">
        <v>0.51666666666666672</v>
      </c>
      <c r="G51" s="14">
        <v>0</v>
      </c>
      <c r="H51" s="14"/>
      <c r="I51" s="14"/>
      <c r="J51" s="14">
        <f t="shared" si="16"/>
        <v>0.41456692594253536</v>
      </c>
      <c r="K51" s="14">
        <f t="shared" si="20"/>
        <v>0.5522988873853204</v>
      </c>
      <c r="L51" s="14"/>
      <c r="M51" s="14"/>
    </row>
    <row r="52" spans="1:13">
      <c r="A52">
        <v>25</v>
      </c>
      <c r="B52" s="4">
        <v>53885</v>
      </c>
      <c r="C52" s="14">
        <v>0.60146922482722898</v>
      </c>
      <c r="D52" s="14">
        <v>0.59042925412809355</v>
      </c>
      <c r="E52" s="14">
        <v>1.2563696621126301E-2</v>
      </c>
      <c r="F52" s="14">
        <v>0.49722222222222218</v>
      </c>
      <c r="G52" s="14">
        <v>2.1509999999999998</v>
      </c>
      <c r="H52" s="14">
        <v>1.002777777777778</v>
      </c>
      <c r="I52" s="14">
        <v>20.04276006411229</v>
      </c>
      <c r="J52" s="14">
        <f t="shared" si="16"/>
        <v>0.41832427360729513</v>
      </c>
      <c r="K52" s="14">
        <f t="shared" si="20"/>
        <v>0.54887012363124033</v>
      </c>
      <c r="L52" s="14"/>
      <c r="M52" s="14">
        <f>K52</f>
        <v>0.54887012363124033</v>
      </c>
    </row>
    <row r="53" spans="1:13">
      <c r="A53">
        <v>25.5</v>
      </c>
      <c r="B53" s="4">
        <v>54070</v>
      </c>
      <c r="C53" s="14">
        <v>0.59714179724358019</v>
      </c>
      <c r="D53" s="14">
        <v>0.58675019054605404</v>
      </c>
      <c r="E53" s="14">
        <v>1.22015450147267E-2</v>
      </c>
      <c r="F53" s="14">
        <v>0.51388888888888884</v>
      </c>
      <c r="G53" s="14">
        <v>0</v>
      </c>
      <c r="H53" s="14"/>
      <c r="I53" s="14"/>
      <c r="J53" s="14">
        <f t="shared" si="16"/>
        <v>0.42206849504079469</v>
      </c>
      <c r="K53" s="14">
        <f t="shared" si="20"/>
        <v>0.54545002195266878</v>
      </c>
      <c r="L53" s="14"/>
      <c r="M53" s="14"/>
    </row>
    <row r="54" spans="1:13">
      <c r="A54">
        <v>26</v>
      </c>
      <c r="B54" s="4">
        <v>54252</v>
      </c>
      <c r="C54" s="14">
        <v>0.59299302894571138</v>
      </c>
      <c r="D54" s="14">
        <v>0.58325070461122197</v>
      </c>
      <c r="E54" s="14">
        <v>1.1868069830263801E-2</v>
      </c>
      <c r="F54" s="14">
        <v>0.50555555555555554</v>
      </c>
      <c r="G54" s="14">
        <v>0</v>
      </c>
      <c r="H54" s="14"/>
      <c r="I54" s="14"/>
      <c r="J54" s="14">
        <f t="shared" si="16"/>
        <v>0.42562643461607941</v>
      </c>
      <c r="K54" s="14">
        <f t="shared" si="20"/>
        <v>0.54219685781104188</v>
      </c>
      <c r="L54" s="14"/>
      <c r="M54" s="14"/>
    </row>
    <row r="55" spans="1:13">
      <c r="A55">
        <v>26.5</v>
      </c>
      <c r="B55" s="4">
        <v>54435</v>
      </c>
      <c r="C55" s="14">
        <v>0.58891583250939061</v>
      </c>
      <c r="D55" s="14">
        <v>0.57983716615897962</v>
      </c>
      <c r="E55" s="14">
        <v>1.15805884799351E-2</v>
      </c>
      <c r="F55" s="14">
        <v>0.5083333333333333</v>
      </c>
      <c r="G55" s="14">
        <v>0</v>
      </c>
      <c r="H55" s="14"/>
      <c r="I55" s="14"/>
      <c r="J55" s="14">
        <f t="shared" si="16"/>
        <v>0.42909326383476432</v>
      </c>
      <c r="K55" s="14">
        <f t="shared" si="20"/>
        <v>0.53902373335892662</v>
      </c>
      <c r="L55" s="14"/>
      <c r="M55" s="14"/>
    </row>
    <row r="56" spans="1:13">
      <c r="A56">
        <v>27</v>
      </c>
      <c r="B56" s="4">
        <v>54616</v>
      </c>
      <c r="C56" s="14">
        <v>0.58496282841536662</v>
      </c>
      <c r="D56" s="14">
        <v>0.57655059372333639</v>
      </c>
      <c r="E56" s="14">
        <v>1.13378239913883E-2</v>
      </c>
      <c r="F56" s="14">
        <v>0.50277777777777777</v>
      </c>
      <c r="G56" s="14">
        <v>0</v>
      </c>
      <c r="H56" s="14"/>
      <c r="I56" s="14"/>
      <c r="J56" s="14">
        <f t="shared" si="16"/>
        <v>0.43242778942310917</v>
      </c>
      <c r="K56" s="14">
        <f t="shared" si="20"/>
        <v>0.53596849535831659</v>
      </c>
      <c r="L56" s="14"/>
      <c r="M56" s="14"/>
    </row>
    <row r="57" spans="1:13">
      <c r="A57">
        <v>27.5</v>
      </c>
      <c r="B57" s="4">
        <v>54800</v>
      </c>
      <c r="C57" s="14">
        <v>0.58101208887308553</v>
      </c>
      <c r="D57" s="14">
        <v>0.57328687722651306</v>
      </c>
      <c r="E57" s="14">
        <v>1.1138458824115899E-2</v>
      </c>
      <c r="F57" s="14">
        <v>0.51111111111111107</v>
      </c>
      <c r="G57" s="14">
        <v>0</v>
      </c>
      <c r="H57" s="14"/>
      <c r="I57" s="14"/>
      <c r="J57" s="14">
        <f t="shared" si="16"/>
        <v>0.43573548547309154</v>
      </c>
      <c r="K57" s="14">
        <f t="shared" si="20"/>
        <v>0.53293450451844604</v>
      </c>
      <c r="L57" s="14"/>
      <c r="M57" s="14"/>
    </row>
    <row r="58" spans="1:13">
      <c r="A58">
        <v>28</v>
      </c>
      <c r="B58" s="4">
        <v>54981</v>
      </c>
      <c r="C58" s="14">
        <v>0.57717966116032426</v>
      </c>
      <c r="D58" s="14">
        <v>0.57013896952900966</v>
      </c>
      <c r="E58" s="14">
        <v>1.09815890846915E-2</v>
      </c>
      <c r="F58" s="14">
        <v>0.50277777777777777</v>
      </c>
      <c r="G58" s="14">
        <v>0</v>
      </c>
      <c r="H58" s="14"/>
      <c r="I58" s="14"/>
      <c r="J58" s="14">
        <f t="shared" si="16"/>
        <v>0.4389222669339517</v>
      </c>
      <c r="K58" s="14">
        <f t="shared" si="20"/>
        <v>0.53000817095721942</v>
      </c>
      <c r="L58" s="14"/>
      <c r="M58" s="14"/>
    </row>
    <row r="59" spans="1:13">
      <c r="A59">
        <v>28.5</v>
      </c>
      <c r="B59" s="4">
        <v>55165</v>
      </c>
      <c r="C59" s="14">
        <v>0.57332577765484094</v>
      </c>
      <c r="D59" s="14">
        <v>0.56698905422546453</v>
      </c>
      <c r="E59" s="14">
        <v>1.0869482791382201E-2</v>
      </c>
      <c r="F59" s="14">
        <v>0.51111111111111107</v>
      </c>
      <c r="G59" s="14">
        <v>0</v>
      </c>
      <c r="H59" s="14"/>
      <c r="I59" s="14"/>
      <c r="J59" s="14">
        <f t="shared" si="16"/>
        <v>0.4421073859895901</v>
      </c>
      <c r="K59" s="14">
        <f t="shared" si="20"/>
        <v>0.52707997110082072</v>
      </c>
      <c r="L59" s="14"/>
      <c r="M59" s="14"/>
    </row>
    <row r="60" spans="1:13">
      <c r="A60">
        <v>29</v>
      </c>
      <c r="B60" s="4">
        <v>55346</v>
      </c>
      <c r="C60" s="14">
        <v>0.56956397983013385</v>
      </c>
      <c r="D60" s="14">
        <v>0.56392695819486949</v>
      </c>
      <c r="E60" s="14">
        <v>1.07999035290495E-2</v>
      </c>
      <c r="F60" s="14">
        <v>0.50277777777777777</v>
      </c>
      <c r="G60" s="14">
        <v>0</v>
      </c>
      <c r="H60" s="14"/>
      <c r="I60" s="14"/>
      <c r="J60" s="14">
        <f t="shared" si="16"/>
        <v>0.44520009077424966</v>
      </c>
      <c r="K60" s="14">
        <f t="shared" si="20"/>
        <v>0.52423340911644745</v>
      </c>
      <c r="L60" s="14"/>
      <c r="M60" s="14"/>
    </row>
    <row r="61" spans="1:13">
      <c r="A61">
        <v>29.5</v>
      </c>
      <c r="B61" s="4">
        <v>55530</v>
      </c>
      <c r="C61" s="14">
        <v>0.56575749067846093</v>
      </c>
      <c r="D61" s="14">
        <v>0.56083828488264831</v>
      </c>
      <c r="E61" s="14">
        <v>1.0775042723228601E-2</v>
      </c>
      <c r="F61" s="14">
        <v>0.51111111111111107</v>
      </c>
      <c r="G61" s="14">
        <v>0</v>
      </c>
      <c r="H61" s="14"/>
      <c r="I61" s="14"/>
      <c r="J61" s="14">
        <f t="shared" si="16"/>
        <v>0.4483158553533626</v>
      </c>
      <c r="K61" s="14">
        <f>(K62*(G62/100*I62-J61+C62)/C62)</f>
        <v>0.52136214056547103</v>
      </c>
      <c r="L61" s="14"/>
      <c r="M61" s="14"/>
    </row>
    <row r="62" spans="1:13">
      <c r="A62">
        <v>30</v>
      </c>
      <c r="B62" s="4">
        <v>55712</v>
      </c>
      <c r="C62" s="14">
        <v>0.56199826955425991</v>
      </c>
      <c r="D62" s="14">
        <v>0.55779469673686044</v>
      </c>
      <c r="E62" s="14">
        <v>1.0793010904611801E-2</v>
      </c>
      <c r="F62" s="14">
        <v>0.50555555555555554</v>
      </c>
      <c r="G62" s="14">
        <v>2.0901259156675769</v>
      </c>
      <c r="H62" s="14">
        <v>1</v>
      </c>
      <c r="I62" s="14">
        <v>22.334839906326771</v>
      </c>
      <c r="J62" s="14">
        <f t="shared" si="16"/>
        <v>0.45138238015393017</v>
      </c>
      <c r="K62" s="14">
        <f t="shared" ref="K62:K70" si="21">K63*(1+E63*F63)</f>
        <v>0.50473769849985206</v>
      </c>
      <c r="L62" s="14"/>
      <c r="M62" s="14">
        <f>K62</f>
        <v>0.50473769849985206</v>
      </c>
    </row>
    <row r="63" spans="1:13">
      <c r="A63">
        <v>30.5</v>
      </c>
      <c r="B63" s="4">
        <v>55897</v>
      </c>
      <c r="C63" s="14">
        <v>0.55817405862420799</v>
      </c>
      <c r="D63" s="14">
        <v>0.55470287369725568</v>
      </c>
      <c r="E63" s="14">
        <v>1.0846384244233899E-2</v>
      </c>
      <c r="F63" s="14">
        <v>0.51388888888888884</v>
      </c>
      <c r="G63" s="14">
        <v>0</v>
      </c>
      <c r="H63" s="14"/>
      <c r="I63" s="14"/>
      <c r="J63" s="14">
        <f t="shared" si="16"/>
        <v>0.45449355101025046</v>
      </c>
      <c r="K63" s="14">
        <f t="shared" si="21"/>
        <v>0.50193996726592616</v>
      </c>
      <c r="L63" s="14"/>
      <c r="M63" s="14"/>
    </row>
    <row r="64" spans="1:13">
      <c r="A64">
        <v>31</v>
      </c>
      <c r="B64" s="4">
        <v>56079</v>
      </c>
      <c r="C64" s="14">
        <v>0.55441017461360897</v>
      </c>
      <c r="D64" s="14">
        <v>0.55166414272305053</v>
      </c>
      <c r="E64" s="14">
        <v>1.08955362271776E-2</v>
      </c>
      <c r="F64" s="14">
        <v>0.50555555555555554</v>
      </c>
      <c r="G64" s="14">
        <v>0</v>
      </c>
      <c r="H64" s="14"/>
      <c r="I64" s="14"/>
      <c r="J64" s="14">
        <f t="shared" si="16"/>
        <v>0.45754740794881643</v>
      </c>
      <c r="K64" s="14">
        <f t="shared" si="21"/>
        <v>0.49919027802138305</v>
      </c>
      <c r="L64" s="14"/>
      <c r="M64" s="14"/>
    </row>
    <row r="65" spans="1:13">
      <c r="A65">
        <v>31.5</v>
      </c>
      <c r="B65" s="4">
        <v>56261</v>
      </c>
      <c r="C65" s="14">
        <v>0.55064827385461712</v>
      </c>
      <c r="D65" s="14">
        <v>0.5486319065880878</v>
      </c>
      <c r="E65" s="14">
        <v>1.0932826565357399E-2</v>
      </c>
      <c r="F65" s="14">
        <v>0.50555555555555554</v>
      </c>
      <c r="G65" s="14">
        <v>0</v>
      </c>
      <c r="H65" s="14"/>
      <c r="I65" s="14"/>
      <c r="J65" s="14">
        <f t="shared" si="16"/>
        <v>0.46059092422085812</v>
      </c>
      <c r="K65" s="14">
        <f t="shared" si="21"/>
        <v>0.49644634401135279</v>
      </c>
      <c r="L65" s="14"/>
      <c r="M65" s="14"/>
    </row>
    <row r="66" spans="1:13">
      <c r="A66">
        <v>32</v>
      </c>
      <c r="B66" s="4">
        <v>56443</v>
      </c>
      <c r="C66" s="14">
        <v>0.546891901283866</v>
      </c>
      <c r="D66" s="14">
        <v>0.54560963384076011</v>
      </c>
      <c r="E66" s="14">
        <v>1.0956774856977301E-2</v>
      </c>
      <c r="F66" s="14">
        <v>0.50555555555555554</v>
      </c>
      <c r="G66" s="14">
        <v>0</v>
      </c>
      <c r="H66" s="14"/>
      <c r="I66" s="14"/>
      <c r="J66" s="14">
        <f t="shared" si="16"/>
        <v>0.46362029977889097</v>
      </c>
      <c r="K66" s="14">
        <f t="shared" si="21"/>
        <v>0.49371154817101082</v>
      </c>
      <c r="L66" s="14"/>
      <c r="M66" s="14"/>
    </row>
    <row r="67" spans="1:13">
      <c r="A67">
        <v>32.5</v>
      </c>
      <c r="B67" s="4">
        <v>56626</v>
      </c>
      <c r="C67" s="14">
        <v>0.5431239515609213</v>
      </c>
      <c r="D67" s="14">
        <v>0.54258422783504157</v>
      </c>
      <c r="E67" s="14">
        <v>1.09691991996723E-2</v>
      </c>
      <c r="F67" s="14">
        <v>0.5083333333333333</v>
      </c>
      <c r="G67" s="14">
        <v>0</v>
      </c>
      <c r="H67" s="14"/>
      <c r="I67" s="14"/>
      <c r="J67" s="14">
        <f t="shared" si="16"/>
        <v>0.46664876414307332</v>
      </c>
      <c r="K67" s="14">
        <f t="shared" si="21"/>
        <v>0.49097387314436364</v>
      </c>
      <c r="L67" s="14"/>
      <c r="M67" s="14"/>
    </row>
    <row r="68" spans="1:13">
      <c r="A68">
        <v>33</v>
      </c>
      <c r="B68" s="4">
        <v>56807</v>
      </c>
      <c r="C68" s="14">
        <v>0.53940946446737725</v>
      </c>
      <c r="D68" s="14">
        <v>0.53960847472234175</v>
      </c>
      <c r="E68" s="14">
        <v>1.0968369202468299E-2</v>
      </c>
      <c r="F68" s="14">
        <v>0.50277777777777777</v>
      </c>
      <c r="G68" s="14">
        <v>0</v>
      </c>
      <c r="H68" s="14"/>
      <c r="I68" s="14"/>
      <c r="J68" s="14">
        <f t="shared" ref="J68:J99" si="22">J67+(E68*F68*C68)</f>
        <v>0.4696234197834141</v>
      </c>
      <c r="K68" s="14">
        <f t="shared" si="21"/>
        <v>0.48828117225791656</v>
      </c>
      <c r="L68" s="14"/>
      <c r="M68" s="14"/>
    </row>
    <row r="69" spans="1:13">
      <c r="A69">
        <v>33.5</v>
      </c>
      <c r="B69" s="4">
        <v>56991</v>
      </c>
      <c r="C69" s="14">
        <v>0.53564926141067259</v>
      </c>
      <c r="D69" s="14">
        <v>0.53660360945520758</v>
      </c>
      <c r="E69" s="14">
        <v>1.0956102632769599E-2</v>
      </c>
      <c r="F69" s="14">
        <v>0.51111111111111107</v>
      </c>
      <c r="G69" s="14">
        <v>0</v>
      </c>
      <c r="H69" s="14"/>
      <c r="I69" s="14"/>
      <c r="J69" s="14">
        <f t="shared" si="22"/>
        <v>0.47262294090592966</v>
      </c>
      <c r="K69" s="14">
        <f t="shared" si="21"/>
        <v>0.48556212835137247</v>
      </c>
      <c r="L69" s="14"/>
      <c r="M69" s="14"/>
    </row>
    <row r="70" spans="1:13">
      <c r="A70">
        <v>34</v>
      </c>
      <c r="B70" s="4">
        <v>57173</v>
      </c>
      <c r="C70" s="14">
        <v>0.53194885680512016</v>
      </c>
      <c r="D70" s="14">
        <v>0.53365464410213215</v>
      </c>
      <c r="E70" s="14">
        <v>1.0930511605727E-2</v>
      </c>
      <c r="F70" s="14">
        <v>0.50555555555555554</v>
      </c>
      <c r="G70" s="14">
        <v>0</v>
      </c>
      <c r="H70" s="14"/>
      <c r="I70" s="14"/>
      <c r="J70" s="14">
        <f t="shared" si="22"/>
        <v>0.47556248011103802</v>
      </c>
      <c r="K70" s="14">
        <f t="shared" si="21"/>
        <v>0.48289366718554561</v>
      </c>
      <c r="L70" s="14"/>
      <c r="M70" s="14"/>
    </row>
    <row r="71" spans="1:13">
      <c r="A71">
        <v>34.5</v>
      </c>
      <c r="B71" s="4">
        <v>57357</v>
      </c>
      <c r="C71" s="14">
        <v>0.52823009110863162</v>
      </c>
      <c r="D71" s="14">
        <v>0.53069993891946243</v>
      </c>
      <c r="E71" s="14">
        <v>1.0893057448593301E-2</v>
      </c>
      <c r="F71" s="14">
        <v>0.51111111111111107</v>
      </c>
      <c r="G71" s="14">
        <v>0</v>
      </c>
      <c r="H71" s="14"/>
      <c r="I71" s="14"/>
      <c r="J71" s="14">
        <f t="shared" si="22"/>
        <v>0.47850343426117148</v>
      </c>
      <c r="K71" s="14">
        <f>(K72*(G72/100*I72-J71+C72)/C72)</f>
        <v>0.48022001215999605</v>
      </c>
      <c r="L71" s="14"/>
      <c r="M71" s="14"/>
    </row>
    <row r="72" spans="1:13">
      <c r="A72">
        <v>35</v>
      </c>
      <c r="B72" s="4">
        <v>57538</v>
      </c>
      <c r="C72" s="14">
        <v>0.52459684006245333</v>
      </c>
      <c r="D72" s="14">
        <v>0.52782259332972981</v>
      </c>
      <c r="E72" s="14">
        <v>1.08424636949378E-2</v>
      </c>
      <c r="F72" s="14">
        <v>0.50277777777777777</v>
      </c>
      <c r="G72" s="14">
        <v>1.9979698579739469</v>
      </c>
      <c r="H72" s="14">
        <v>1</v>
      </c>
      <c r="I72" s="14">
        <v>25.032159696291082</v>
      </c>
      <c r="J72" s="14">
        <f t="shared" si="22"/>
        <v>0.48136319514146864</v>
      </c>
      <c r="K72" s="14">
        <f t="shared" ref="K72:K80" si="23">K73*(1+E73*F73)</f>
        <v>0.4612024854200954</v>
      </c>
      <c r="L72" s="14"/>
      <c r="M72" s="14">
        <f>K72</f>
        <v>0.4612024854200954</v>
      </c>
    </row>
    <row r="73" spans="1:13">
      <c r="A73">
        <v>35.5</v>
      </c>
      <c r="B73" s="4">
        <v>57724</v>
      </c>
      <c r="C73" s="14">
        <v>0.52089196930492376</v>
      </c>
      <c r="D73" s="14">
        <v>0.5248990250607739</v>
      </c>
      <c r="E73" s="14">
        <v>1.07802052586819E-2</v>
      </c>
      <c r="F73" s="14">
        <v>0.51666666666666672</v>
      </c>
      <c r="G73" s="14">
        <v>0</v>
      </c>
      <c r="H73" s="14"/>
      <c r="I73" s="14"/>
      <c r="J73" s="14">
        <f t="shared" si="22"/>
        <v>0.48426444502060012</v>
      </c>
      <c r="K73" s="14">
        <f t="shared" si="23"/>
        <v>0.45864792074443084</v>
      </c>
      <c r="L73" s="14"/>
      <c r="M73" s="14"/>
    </row>
    <row r="74" spans="1:13">
      <c r="A74">
        <v>36</v>
      </c>
      <c r="B74" s="4">
        <v>57903</v>
      </c>
      <c r="C74" s="14">
        <v>0.51735683932539711</v>
      </c>
      <c r="D74" s="14">
        <v>0.5221203071921855</v>
      </c>
      <c r="E74" s="14">
        <v>1.07032216274824E-2</v>
      </c>
      <c r="F74" s="14">
        <v>0.49722222222222218</v>
      </c>
      <c r="G74" s="14">
        <v>0</v>
      </c>
      <c r="H74" s="14"/>
      <c r="I74" s="14"/>
      <c r="J74" s="14">
        <f t="shared" si="22"/>
        <v>0.4870177558517419</v>
      </c>
      <c r="K74" s="14">
        <f t="shared" si="23"/>
        <v>0.45621997295782019</v>
      </c>
      <c r="L74" s="14"/>
      <c r="M74" s="14"/>
    </row>
    <row r="75" spans="1:13">
      <c r="A75">
        <v>36.5</v>
      </c>
      <c r="B75" s="4">
        <v>58088</v>
      </c>
      <c r="C75" s="14">
        <v>0.51373727224032295</v>
      </c>
      <c r="D75" s="14">
        <v>0.51928740042500721</v>
      </c>
      <c r="E75" s="14">
        <v>1.06158621108882E-2</v>
      </c>
      <c r="F75" s="14">
        <v>0.51388888888888884</v>
      </c>
      <c r="G75" s="14">
        <v>0</v>
      </c>
      <c r="H75" s="14"/>
      <c r="I75" s="14"/>
      <c r="J75" s="14">
        <f t="shared" si="22"/>
        <v>0.48982038459622945</v>
      </c>
      <c r="K75" s="14">
        <f t="shared" si="23"/>
        <v>0.45374462650813996</v>
      </c>
      <c r="L75" s="14"/>
      <c r="M75" s="14"/>
    </row>
    <row r="76" spans="1:13">
      <c r="A76">
        <v>37</v>
      </c>
      <c r="B76" s="4">
        <v>58270</v>
      </c>
      <c r="C76" s="14">
        <v>0.51021287719542696</v>
      </c>
      <c r="D76" s="14">
        <v>0.51654201597351568</v>
      </c>
      <c r="E76" s="14">
        <v>1.05130475648442E-2</v>
      </c>
      <c r="F76" s="14">
        <v>0.50555555555555554</v>
      </c>
      <c r="G76" s="14">
        <v>0</v>
      </c>
      <c r="H76" s="14"/>
      <c r="I76" s="14"/>
      <c r="J76" s="14">
        <f t="shared" si="22"/>
        <v>0.49253213012067271</v>
      </c>
      <c r="K76" s="14">
        <f t="shared" si="23"/>
        <v>0.45134575559091039</v>
      </c>
      <c r="L76" s="14"/>
      <c r="M76" s="14"/>
    </row>
    <row r="77" spans="1:13">
      <c r="A77">
        <v>37.5</v>
      </c>
      <c r="B77" s="4">
        <v>58452</v>
      </c>
      <c r="C77" s="14">
        <v>0.50672726759364373</v>
      </c>
      <c r="D77" s="14">
        <v>0.51384074987513662</v>
      </c>
      <c r="E77" s="14">
        <v>1.0398104339398801E-2</v>
      </c>
      <c r="F77" s="14">
        <v>0.50555555555555554</v>
      </c>
      <c r="G77" s="14">
        <v>0</v>
      </c>
      <c r="H77" s="14"/>
      <c r="I77" s="14"/>
      <c r="J77" s="14">
        <f t="shared" si="22"/>
        <v>0.4951959038595905</v>
      </c>
      <c r="K77" s="14">
        <f t="shared" si="23"/>
        <v>0.44898551979294676</v>
      </c>
      <c r="L77" s="14"/>
      <c r="M77" s="14"/>
    </row>
    <row r="78" spans="1:13">
      <c r="A78">
        <v>38</v>
      </c>
      <c r="B78" s="4">
        <v>58634</v>
      </c>
      <c r="C78" s="14">
        <v>0.50328295965269065</v>
      </c>
      <c r="D78" s="14">
        <v>0.51118640050096331</v>
      </c>
      <c r="E78" s="14">
        <v>1.0270933253150399E-2</v>
      </c>
      <c r="F78" s="14">
        <v>0.50555555555555554</v>
      </c>
      <c r="G78" s="14">
        <v>0</v>
      </c>
      <c r="H78" s="14"/>
      <c r="I78" s="14"/>
      <c r="J78" s="14">
        <f t="shared" si="22"/>
        <v>0.49780921440086667</v>
      </c>
      <c r="K78" s="14">
        <f t="shared" si="23"/>
        <v>0.44666619336006874</v>
      </c>
      <c r="L78" s="14"/>
      <c r="M78" s="14"/>
    </row>
    <row r="79" spans="1:13">
      <c r="A79">
        <v>38.5</v>
      </c>
      <c r="B79" s="4">
        <v>58818</v>
      </c>
      <c r="C79" s="14">
        <v>0.49984527842257231</v>
      </c>
      <c r="D79" s="14">
        <v>0.50855337125243827</v>
      </c>
      <c r="E79" s="14">
        <v>1.0129868870633E-2</v>
      </c>
      <c r="F79" s="14">
        <v>0.51111111111111107</v>
      </c>
      <c r="G79" s="14">
        <v>0</v>
      </c>
      <c r="H79" s="14"/>
      <c r="I79" s="14"/>
      <c r="J79" s="14">
        <f t="shared" si="22"/>
        <v>0.50039715759861314</v>
      </c>
      <c r="K79" s="14">
        <f t="shared" si="23"/>
        <v>0.44436549609916381</v>
      </c>
      <c r="L79" s="14"/>
      <c r="M79" s="14"/>
    </row>
    <row r="80" spans="1:13">
      <c r="A80">
        <v>39</v>
      </c>
      <c r="B80" s="4">
        <v>58999</v>
      </c>
      <c r="C80" s="14">
        <v>0.49650964556268212</v>
      </c>
      <c r="D80" s="14">
        <v>0.50601548457043399</v>
      </c>
      <c r="E80" s="14">
        <v>9.9754465449435996E-3</v>
      </c>
      <c r="F80" s="14">
        <v>0.50277777777777777</v>
      </c>
      <c r="G80" s="14">
        <v>0</v>
      </c>
      <c r="H80" s="14"/>
      <c r="I80" s="14"/>
      <c r="J80" s="14">
        <f t="shared" si="22"/>
        <v>0.50288736838342718</v>
      </c>
      <c r="K80" s="14">
        <f t="shared" si="23"/>
        <v>0.4421479328339456</v>
      </c>
      <c r="L80" s="14"/>
      <c r="M80" s="14"/>
    </row>
    <row r="81" spans="1:13">
      <c r="A81">
        <v>39.5</v>
      </c>
      <c r="B81" s="4">
        <v>59183</v>
      </c>
      <c r="C81" s="14">
        <v>0.49316783235733408</v>
      </c>
      <c r="D81" s="14">
        <v>0.50349129580180585</v>
      </c>
      <c r="E81" s="14">
        <v>9.8087697655727703E-3</v>
      </c>
      <c r="F81" s="14">
        <v>0.51111111111111107</v>
      </c>
      <c r="G81" s="14">
        <v>0</v>
      </c>
      <c r="H81" s="14"/>
      <c r="I81" s="14"/>
      <c r="J81" s="14">
        <f t="shared" si="22"/>
        <v>0.50535980179759898</v>
      </c>
      <c r="K81" s="14">
        <f>(K82*(G82/100*I82-J81+C82))/C82</f>
        <v>0.43994233857811166</v>
      </c>
      <c r="L81" s="14"/>
      <c r="M81" s="14"/>
    </row>
    <row r="82" spans="1:13">
      <c r="A82">
        <v>40</v>
      </c>
      <c r="B82" s="4">
        <v>59364</v>
      </c>
      <c r="C82" s="14">
        <v>0.48993103816542471</v>
      </c>
      <c r="D82" s="14">
        <v>0.50106569279954849</v>
      </c>
      <c r="E82" s="14">
        <v>9.6282859328103293E-3</v>
      </c>
      <c r="F82" s="14">
        <v>0.50277777777777777</v>
      </c>
      <c r="G82" s="14">
        <v>1.923977204313106</v>
      </c>
      <c r="H82" s="14">
        <v>1</v>
      </c>
      <c r="I82" s="14">
        <v>27.549491555734601</v>
      </c>
      <c r="J82" s="14">
        <f t="shared" si="22"/>
        <v>0.50773150318157001</v>
      </c>
      <c r="K82" s="15">
        <f t="shared" ref="K82:K100" si="24">K83*(1+E83*F83)</f>
        <v>0.41883834750228499</v>
      </c>
      <c r="L82" s="15">
        <v>0.41883834750228499</v>
      </c>
      <c r="M82" s="14">
        <f>K82</f>
        <v>0.41883834750228499</v>
      </c>
    </row>
    <row r="83" spans="1:13">
      <c r="A83">
        <v>40.5</v>
      </c>
      <c r="B83" s="4">
        <v>59548</v>
      </c>
      <c r="C83" s="14">
        <v>0.48669362634470931</v>
      </c>
      <c r="D83" s="14">
        <v>0.49865975423065317</v>
      </c>
      <c r="E83" s="14">
        <v>9.4398456525104004E-3</v>
      </c>
      <c r="F83" s="14">
        <v>0.51111111111111107</v>
      </c>
      <c r="G83" s="14">
        <v>0</v>
      </c>
      <c r="H83" s="14"/>
      <c r="I83" s="14"/>
      <c r="J83" s="14">
        <f t="shared" si="22"/>
        <v>0.51007970745697795</v>
      </c>
      <c r="K83" s="14">
        <f t="shared" si="24"/>
        <v>0.41682723528911803</v>
      </c>
      <c r="L83" s="14"/>
      <c r="M83" s="14"/>
    </row>
    <row r="84" spans="1:13">
      <c r="A84">
        <v>41</v>
      </c>
      <c r="B84" s="4">
        <v>59729</v>
      </c>
      <c r="C84" s="14">
        <v>0.4835606296701902</v>
      </c>
      <c r="D84" s="14">
        <v>0.49634912885889831</v>
      </c>
      <c r="E84" s="14">
        <v>9.2590451040213406E-3</v>
      </c>
      <c r="F84" s="14">
        <v>0.50277777777777777</v>
      </c>
      <c r="G84" s="14">
        <v>0</v>
      </c>
      <c r="H84" s="14"/>
      <c r="I84" s="14"/>
      <c r="J84" s="14">
        <f t="shared" si="22"/>
        <v>0.51233079926863567</v>
      </c>
      <c r="K84" s="14">
        <f t="shared" si="24"/>
        <v>0.41489579490852535</v>
      </c>
      <c r="L84" s="14"/>
      <c r="M84" s="14"/>
    </row>
    <row r="85" spans="1:13">
      <c r="A85">
        <v>41.5</v>
      </c>
      <c r="B85" s="4">
        <v>59915</v>
      </c>
      <c r="C85" s="14">
        <v>0.48039334667767708</v>
      </c>
      <c r="D85" s="14">
        <v>0.49402867581010651</v>
      </c>
      <c r="E85" s="14">
        <v>9.0909691464970098E-3</v>
      </c>
      <c r="F85" s="14">
        <v>0.51666666666666672</v>
      </c>
      <c r="G85" s="14">
        <v>0</v>
      </c>
      <c r="H85" s="14"/>
      <c r="I85" s="14"/>
      <c r="J85" s="14">
        <f t="shared" si="22"/>
        <v>0.51458720716659745</v>
      </c>
      <c r="K85" s="14">
        <f t="shared" si="24"/>
        <v>0.4129561396210471</v>
      </c>
      <c r="L85" s="14"/>
      <c r="M85" s="14"/>
    </row>
    <row r="86" spans="1:13">
      <c r="A86">
        <v>42</v>
      </c>
      <c r="B86" s="4">
        <v>60097</v>
      </c>
      <c r="C86" s="14">
        <v>0.4773444128346101</v>
      </c>
      <c r="D86" s="14">
        <v>0.49180732439275149</v>
      </c>
      <c r="E86" s="14">
        <v>8.9341530849784603E-3</v>
      </c>
      <c r="F86" s="14">
        <v>0.50555555555555554</v>
      </c>
      <c r="G86" s="14">
        <v>0</v>
      </c>
      <c r="H86" s="14"/>
      <c r="I86" s="14"/>
      <c r="J86" s="14">
        <f t="shared" si="22"/>
        <v>0.51674323379618436</v>
      </c>
      <c r="K86" s="14">
        <f t="shared" si="24"/>
        <v>0.41109932289973339</v>
      </c>
      <c r="L86" s="14"/>
      <c r="M86" s="14"/>
    </row>
    <row r="87" spans="1:13">
      <c r="A87">
        <v>42.5</v>
      </c>
      <c r="B87" s="4">
        <v>60279</v>
      </c>
      <c r="C87" s="14">
        <v>0.47434415945888991</v>
      </c>
      <c r="D87" s="14">
        <v>0.4896309584163458</v>
      </c>
      <c r="E87" s="14">
        <v>8.7916116448463408E-3</v>
      </c>
      <c r="F87" s="14">
        <v>0.50555555555555554</v>
      </c>
      <c r="G87" s="14">
        <v>0</v>
      </c>
      <c r="H87" s="14"/>
      <c r="I87" s="14"/>
      <c r="J87" s="14">
        <f t="shared" si="22"/>
        <v>0.51885152666769929</v>
      </c>
      <c r="K87" s="14">
        <f t="shared" si="24"/>
        <v>0.40928021635989953</v>
      </c>
      <c r="L87" s="14"/>
      <c r="M87" s="14"/>
    </row>
    <row r="88" spans="1:13">
      <c r="A88">
        <v>43</v>
      </c>
      <c r="B88" s="4">
        <v>60461</v>
      </c>
      <c r="C88" s="14">
        <v>0.47139160614948861</v>
      </c>
      <c r="D88" s="14">
        <v>0.48749599328334481</v>
      </c>
      <c r="E88" s="14">
        <v>8.6626516188248893E-3</v>
      </c>
      <c r="F88" s="14">
        <v>0.50555555555555554</v>
      </c>
      <c r="G88" s="14">
        <v>0</v>
      </c>
      <c r="H88" s="14"/>
      <c r="I88" s="14"/>
      <c r="J88" s="14">
        <f t="shared" si="22"/>
        <v>0.52091596341586666</v>
      </c>
      <c r="K88" s="14">
        <f t="shared" si="24"/>
        <v>0.40749560904180493</v>
      </c>
      <c r="L88" s="14"/>
      <c r="M88" s="14"/>
    </row>
    <row r="89" spans="1:13">
      <c r="A89">
        <v>43.5</v>
      </c>
      <c r="B89" s="4">
        <v>60644</v>
      </c>
      <c r="C89" s="14">
        <v>0.46846995448104201</v>
      </c>
      <c r="D89" s="14">
        <v>0.48538748473141352</v>
      </c>
      <c r="E89" s="14">
        <v>8.5453174166054604E-3</v>
      </c>
      <c r="F89" s="14">
        <v>0.5083333333333333</v>
      </c>
      <c r="G89" s="14">
        <v>0</v>
      </c>
      <c r="H89" s="14"/>
      <c r="I89" s="14"/>
      <c r="J89" s="14">
        <f t="shared" si="22"/>
        <v>0.5229509358503015</v>
      </c>
      <c r="K89" s="14">
        <f t="shared" si="24"/>
        <v>0.40573315707984653</v>
      </c>
      <c r="L89" s="14"/>
      <c r="M89" s="14"/>
    </row>
    <row r="90" spans="1:13">
      <c r="A90">
        <v>44</v>
      </c>
      <c r="B90" s="4">
        <v>60825</v>
      </c>
      <c r="C90" s="14">
        <v>0.46562578064583421</v>
      </c>
      <c r="D90" s="14">
        <v>0.48333624725846241</v>
      </c>
      <c r="E90" s="14">
        <v>8.4409339494139791E-3</v>
      </c>
      <c r="F90" s="14">
        <v>0.50277777777777777</v>
      </c>
      <c r="G90" s="14">
        <v>0</v>
      </c>
      <c r="H90" s="14"/>
      <c r="I90" s="14"/>
      <c r="J90" s="14">
        <f t="shared" si="22"/>
        <v>0.52492701162581046</v>
      </c>
      <c r="K90" s="14">
        <f t="shared" si="24"/>
        <v>0.4040185371483469</v>
      </c>
      <c r="L90" s="14"/>
      <c r="M90" s="14"/>
    </row>
    <row r="91" spans="1:13">
      <c r="A91">
        <v>44.5</v>
      </c>
      <c r="B91" s="4">
        <v>61009</v>
      </c>
      <c r="C91" s="14">
        <v>0.46277995896916652</v>
      </c>
      <c r="D91" s="14">
        <v>0.48128244372266532</v>
      </c>
      <c r="E91" s="14">
        <v>8.3491748309134205E-3</v>
      </c>
      <c r="F91" s="14">
        <v>0.51111111111111107</v>
      </c>
      <c r="G91" s="14">
        <v>0</v>
      </c>
      <c r="H91" s="14"/>
      <c r="I91" s="14"/>
      <c r="J91" s="14">
        <f t="shared" si="22"/>
        <v>0.52690185847182291</v>
      </c>
      <c r="K91" s="14">
        <f t="shared" si="24"/>
        <v>0.40230177225676389</v>
      </c>
      <c r="L91" s="14"/>
      <c r="M91" s="14"/>
    </row>
    <row r="92" spans="1:13">
      <c r="A92">
        <v>45</v>
      </c>
      <c r="B92" s="4">
        <v>61190</v>
      </c>
      <c r="C92" s="14">
        <v>0.46002438942535051</v>
      </c>
      <c r="D92" s="14">
        <v>0.47928971420650379</v>
      </c>
      <c r="E92" s="14">
        <v>8.2694032527044995E-3</v>
      </c>
      <c r="F92" s="14">
        <v>0.50277777777777777</v>
      </c>
      <c r="G92" s="14">
        <v>0</v>
      </c>
      <c r="H92" s="14"/>
      <c r="I92" s="14"/>
      <c r="J92" s="14">
        <f t="shared" si="22"/>
        <v>0.5288144890828923</v>
      </c>
      <c r="K92" s="14">
        <f t="shared" si="24"/>
        <v>0.40063605885616854</v>
      </c>
      <c r="L92" s="14"/>
      <c r="M92" s="14"/>
    </row>
    <row r="93" spans="1:13">
      <c r="A93">
        <v>45.5</v>
      </c>
      <c r="B93" s="4">
        <v>61374</v>
      </c>
      <c r="C93" s="14">
        <v>0.45726682763226401</v>
      </c>
      <c r="D93" s="14">
        <v>0.47728865240006779</v>
      </c>
      <c r="E93" s="14">
        <v>8.2028368073458306E-3</v>
      </c>
      <c r="F93" s="14">
        <v>0.51111111111111107</v>
      </c>
      <c r="G93" s="14">
        <v>0</v>
      </c>
      <c r="H93" s="14"/>
      <c r="I93" s="14"/>
      <c r="J93" s="14">
        <f t="shared" si="22"/>
        <v>0.53073160816695997</v>
      </c>
      <c r="K93" s="14">
        <f t="shared" si="24"/>
        <v>0.39896338053260927</v>
      </c>
      <c r="L93" s="14"/>
      <c r="M93" s="14"/>
    </row>
    <row r="94" spans="1:13">
      <c r="A94">
        <v>46</v>
      </c>
      <c r="B94" s="4">
        <v>61556</v>
      </c>
      <c r="C94" s="14">
        <v>0.45458169239949059</v>
      </c>
      <c r="D94" s="14">
        <v>0.47533058089557279</v>
      </c>
      <c r="E94" s="14">
        <v>8.1482417208092097E-3</v>
      </c>
      <c r="F94" s="14">
        <v>0.50555555555555554</v>
      </c>
      <c r="G94" s="14">
        <v>0</v>
      </c>
      <c r="H94" s="14"/>
      <c r="I94" s="14"/>
      <c r="J94" s="14">
        <f t="shared" si="22"/>
        <v>0.53260420693112009</v>
      </c>
      <c r="K94" s="14">
        <f t="shared" si="24"/>
        <v>0.39732663760392317</v>
      </c>
      <c r="L94" s="14"/>
      <c r="M94" s="14"/>
    </row>
    <row r="95" spans="1:13">
      <c r="A95">
        <v>46.5</v>
      </c>
      <c r="B95" s="4">
        <v>61742</v>
      </c>
      <c r="C95" s="14">
        <v>0.45188028198482799</v>
      </c>
      <c r="D95" s="14">
        <v>0.47334797928999178</v>
      </c>
      <c r="E95" s="14">
        <v>8.1067071119907304E-3</v>
      </c>
      <c r="F95" s="14">
        <v>0.51666666666666672</v>
      </c>
      <c r="G95" s="14">
        <v>0</v>
      </c>
      <c r="H95" s="14"/>
      <c r="I95" s="14"/>
      <c r="J95" s="14">
        <f t="shared" si="22"/>
        <v>0.53449689183058302</v>
      </c>
      <c r="K95" s="14">
        <f t="shared" si="24"/>
        <v>0.39566939007701374</v>
      </c>
      <c r="L95" s="14"/>
      <c r="M95" s="14"/>
    </row>
    <row r="96" spans="1:13">
      <c r="A96">
        <v>47</v>
      </c>
      <c r="B96" s="4">
        <v>61921</v>
      </c>
      <c r="C96" s="14">
        <v>0.44932051302385029</v>
      </c>
      <c r="D96" s="14">
        <v>0.47145456425612797</v>
      </c>
      <c r="E96" s="14">
        <v>8.0772026974377208E-3</v>
      </c>
      <c r="F96" s="14">
        <v>0.49722222222222218</v>
      </c>
      <c r="G96" s="14">
        <v>0</v>
      </c>
      <c r="H96" s="14"/>
      <c r="I96" s="14"/>
      <c r="J96" s="14">
        <f t="shared" si="22"/>
        <v>0.53630143700254429</v>
      </c>
      <c r="K96" s="14">
        <f t="shared" si="24"/>
        <v>0.39408667310178774</v>
      </c>
      <c r="L96" s="14"/>
      <c r="M96" s="14"/>
    </row>
    <row r="97" spans="1:17">
      <c r="A97">
        <v>47.5</v>
      </c>
      <c r="B97" s="4">
        <v>62106</v>
      </c>
      <c r="C97" s="14">
        <v>0.44671531179977891</v>
      </c>
      <c r="D97" s="14">
        <v>0.46950955127735849</v>
      </c>
      <c r="E97" s="14">
        <v>8.0613698071773897E-3</v>
      </c>
      <c r="F97" s="14">
        <v>0.51388888888888884</v>
      </c>
      <c r="G97" s="14">
        <v>0</v>
      </c>
      <c r="H97" s="14"/>
      <c r="I97" s="14"/>
      <c r="J97" s="14">
        <f t="shared" si="22"/>
        <v>0.53815202146222518</v>
      </c>
      <c r="K97" s="14">
        <f t="shared" si="24"/>
        <v>0.39246084581734419</v>
      </c>
      <c r="L97" s="14"/>
      <c r="M97" s="14"/>
    </row>
    <row r="98" spans="1:17">
      <c r="A98">
        <v>48</v>
      </c>
      <c r="B98" s="4">
        <v>62288</v>
      </c>
      <c r="C98" s="14">
        <v>0.44419159681857179</v>
      </c>
      <c r="D98" s="14">
        <v>0.46760479806134042</v>
      </c>
      <c r="E98" s="14">
        <v>8.0573247742801099E-3</v>
      </c>
      <c r="F98" s="14">
        <v>0.50555555555555554</v>
      </c>
      <c r="G98" s="14">
        <v>0</v>
      </c>
      <c r="H98" s="14"/>
      <c r="I98" s="14"/>
      <c r="J98" s="14">
        <f t="shared" si="22"/>
        <v>0.5399614027518872</v>
      </c>
      <c r="K98" s="14">
        <f t="shared" si="24"/>
        <v>0.3908686714809585</v>
      </c>
      <c r="L98" s="14"/>
      <c r="M98" s="14"/>
    </row>
    <row r="99" spans="1:17">
      <c r="A99">
        <v>48.5</v>
      </c>
      <c r="B99" s="4">
        <v>62470</v>
      </c>
      <c r="C99" s="14">
        <v>0.44170601590680081</v>
      </c>
      <c r="D99" s="14">
        <v>0.46570569634089187</v>
      </c>
      <c r="E99" s="14">
        <v>8.0664530618313798E-3</v>
      </c>
      <c r="F99" s="14">
        <v>0.50555555555555554</v>
      </c>
      <c r="G99" s="14">
        <v>0</v>
      </c>
      <c r="H99" s="14"/>
      <c r="I99" s="14"/>
      <c r="J99" s="14">
        <f t="shared" si="22"/>
        <v>0.54176269762324336</v>
      </c>
      <c r="K99" s="14">
        <f t="shared" si="24"/>
        <v>0.38928116724776529</v>
      </c>
      <c r="L99" s="14"/>
      <c r="M99" s="14"/>
      <c r="P99" s="4">
        <v>59364</v>
      </c>
      <c r="Q99" s="14">
        <f>L82</f>
        <v>0.41883834750228499</v>
      </c>
    </row>
    <row r="100" spans="1:17">
      <c r="A100">
        <v>49</v>
      </c>
      <c r="B100" s="4">
        <v>62652</v>
      </c>
      <c r="C100" s="14">
        <v>0.4392578039092318</v>
      </c>
      <c r="D100" s="14">
        <v>0.46380931440043982</v>
      </c>
      <c r="E100" s="14">
        <v>8.0875589180164006E-3</v>
      </c>
      <c r="F100" s="14">
        <v>0.50555555555555554</v>
      </c>
      <c r="G100" s="14">
        <v>0</v>
      </c>
      <c r="H100" s="14"/>
      <c r="I100" s="14"/>
      <c r="J100" s="14">
        <f t="shared" ref="J100:J122" si="25">J99+(E100*F100*C100)</f>
        <v>0.54355869554884118</v>
      </c>
      <c r="K100" s="14">
        <f t="shared" si="24"/>
        <v>0.38769599064132237</v>
      </c>
      <c r="L100" s="14"/>
      <c r="M100" s="14"/>
      <c r="P100" s="4">
        <v>66670</v>
      </c>
      <c r="Q100" s="14">
        <f>L122</f>
        <v>0.31434629331670899</v>
      </c>
    </row>
    <row r="101" spans="1:17">
      <c r="A101">
        <v>49.5</v>
      </c>
      <c r="B101" s="4">
        <v>62835</v>
      </c>
      <c r="C101" s="14">
        <v>0.43683305994826649</v>
      </c>
      <c r="D101" s="14">
        <v>0.46190234191945129</v>
      </c>
      <c r="E101" s="14">
        <v>8.1218840242567106E-3</v>
      </c>
      <c r="F101" s="14">
        <v>0.5083333333333333</v>
      </c>
      <c r="G101" s="14">
        <v>0</v>
      </c>
      <c r="H101" s="14"/>
      <c r="I101" s="14"/>
      <c r="J101" s="14">
        <f t="shared" si="25"/>
        <v>0.54536221516969552</v>
      </c>
      <c r="K101" s="14">
        <f>(M102*(G102/100*I102-J101+C102))/C102</f>
        <v>0.3861019208381723</v>
      </c>
      <c r="L101" s="14"/>
      <c r="M101" s="14"/>
      <c r="P101" s="4"/>
      <c r="Q101" s="14"/>
    </row>
    <row r="102" spans="1:17">
      <c r="A102">
        <v>50</v>
      </c>
      <c r="B102" s="4">
        <v>63017</v>
      </c>
      <c r="C102" s="14">
        <v>0.43445754508781198</v>
      </c>
      <c r="D102" s="14">
        <v>0.46000277084258262</v>
      </c>
      <c r="E102" s="14">
        <v>8.1681971871145394E-3</v>
      </c>
      <c r="F102" s="14">
        <v>0.50555555555555554</v>
      </c>
      <c r="G102" s="14">
        <v>1.7693596184493272</v>
      </c>
      <c r="H102" s="14">
        <v>0.99722222222222223</v>
      </c>
      <c r="I102" s="14">
        <v>32.129337357042132</v>
      </c>
      <c r="J102" s="14">
        <f t="shared" si="25"/>
        <v>0.54715629781242514</v>
      </c>
      <c r="K102" s="14">
        <f t="shared" ref="K102:K120" si="26">K103*(1+E103*F103)</f>
        <v>0.34422381741650365</v>
      </c>
      <c r="L102" s="14"/>
      <c r="M102" s="14">
        <f>Q102</f>
        <v>0.36659232040949696</v>
      </c>
      <c r="P102" s="4">
        <v>63017</v>
      </c>
      <c r="Q102" s="14" cm="1">
        <f t="array" ref="Q102">interpolate(P99:P100,Q99:Q100,P102,"Natural Cubic Spline")</f>
        <v>0.36659232040949696</v>
      </c>
    </row>
    <row r="103" spans="1:17">
      <c r="A103">
        <v>50.5</v>
      </c>
      <c r="B103" s="4">
        <v>63201</v>
      </c>
      <c r="C103" s="14">
        <v>0.43209151992901568</v>
      </c>
      <c r="D103" s="14">
        <v>0.45807702898065161</v>
      </c>
      <c r="E103" s="14">
        <v>8.2251577321086899E-3</v>
      </c>
      <c r="F103" s="14">
        <v>0.51111111111111107</v>
      </c>
      <c r="G103" s="14">
        <v>0</v>
      </c>
      <c r="H103" s="14"/>
      <c r="I103" s="14"/>
      <c r="J103" s="14">
        <f t="shared" si="25"/>
        <v>0.5489727973866656</v>
      </c>
      <c r="K103" s="14">
        <f t="shared" si="26"/>
        <v>0.3427827691074718</v>
      </c>
      <c r="L103" s="14"/>
      <c r="M103" s="14"/>
      <c r="P103" s="4">
        <v>66488</v>
      </c>
      <c r="Q103" s="14" cm="1">
        <f t="array" ref="Q103">interpolate(P99:P100,Q99:Q100,P103,"Natural Cubic Spline")</f>
        <v>0.31694929822524648</v>
      </c>
    </row>
    <row r="104" spans="1:17">
      <c r="A104">
        <v>51</v>
      </c>
      <c r="B104" s="4">
        <v>63382</v>
      </c>
      <c r="C104" s="14">
        <v>0.42979759775090948</v>
      </c>
      <c r="D104" s="14">
        <v>0.45617770642395977</v>
      </c>
      <c r="E104" s="14">
        <v>8.2811107833842199E-3</v>
      </c>
      <c r="F104" s="14">
        <v>0.50277777777777777</v>
      </c>
      <c r="G104" s="14">
        <v>0</v>
      </c>
      <c r="H104" s="14"/>
      <c r="I104" s="14"/>
      <c r="J104" s="14">
        <f t="shared" si="25"/>
        <v>0.55076228481826228</v>
      </c>
      <c r="K104" s="14">
        <f t="shared" si="26"/>
        <v>0.34136149057957904</v>
      </c>
      <c r="L104" s="14"/>
      <c r="M104" s="14"/>
    </row>
    <row r="105" spans="1:17">
      <c r="A105">
        <v>51.5</v>
      </c>
      <c r="B105" s="4">
        <v>63566</v>
      </c>
      <c r="C105" s="14">
        <v>0.42749820729406318</v>
      </c>
      <c r="D105" s="14">
        <v>0.45424265881200709</v>
      </c>
      <c r="E105" s="14">
        <v>8.3346701275028908E-3</v>
      </c>
      <c r="F105" s="14">
        <v>0.51111111111111107</v>
      </c>
      <c r="G105" s="14">
        <v>0</v>
      </c>
      <c r="H105" s="14"/>
      <c r="I105" s="14"/>
      <c r="J105" s="14">
        <f t="shared" si="25"/>
        <v>0.55258340260429739</v>
      </c>
      <c r="K105" s="14">
        <f t="shared" si="26"/>
        <v>0.33991347870206584</v>
      </c>
      <c r="L105" s="14"/>
      <c r="M105" s="14"/>
    </row>
    <row r="106" spans="1:17">
      <c r="A106">
        <v>52</v>
      </c>
      <c r="B106" s="4">
        <v>63747</v>
      </c>
      <c r="C106" s="14">
        <v>0.42526686220753063</v>
      </c>
      <c r="D106" s="14">
        <v>0.45233577293794869</v>
      </c>
      <c r="E106" s="14">
        <v>8.3847031627381999E-3</v>
      </c>
      <c r="F106" s="14">
        <v>0.50277777777777777</v>
      </c>
      <c r="G106" s="14">
        <v>0</v>
      </c>
      <c r="H106" s="14"/>
      <c r="I106" s="14"/>
      <c r="J106" s="14">
        <f t="shared" si="25"/>
        <v>0.55437617562992303</v>
      </c>
      <c r="K106" s="14">
        <f t="shared" si="26"/>
        <v>0.33848654048222931</v>
      </c>
      <c r="L106" s="14"/>
      <c r="M106" s="14"/>
    </row>
    <row r="107" spans="1:17">
      <c r="A107">
        <v>52.5</v>
      </c>
      <c r="B107" s="4">
        <v>63933</v>
      </c>
      <c r="C107" s="14">
        <v>0.42300395048401113</v>
      </c>
      <c r="D107" s="14">
        <v>0.45037351900654238</v>
      </c>
      <c r="E107" s="14">
        <v>8.4328022734497608E-3</v>
      </c>
      <c r="F107" s="14">
        <v>0.51666666666666672</v>
      </c>
      <c r="G107" s="14">
        <v>0</v>
      </c>
      <c r="H107" s="14"/>
      <c r="I107" s="14"/>
      <c r="J107" s="14">
        <f t="shared" si="25"/>
        <v>0.55621918177883822</v>
      </c>
      <c r="K107" s="14">
        <f t="shared" si="26"/>
        <v>0.33701816989443484</v>
      </c>
      <c r="L107" s="14"/>
      <c r="M107" s="14"/>
    </row>
    <row r="108" spans="1:17">
      <c r="A108">
        <v>53</v>
      </c>
      <c r="B108" s="4">
        <v>64112</v>
      </c>
      <c r="C108" s="14">
        <v>0.42085359185350152</v>
      </c>
      <c r="D108" s="14">
        <v>0.44848329287351291</v>
      </c>
      <c r="E108" s="14">
        <v>8.4771553101963201E-3</v>
      </c>
      <c r="F108" s="14">
        <v>0.49722222222222218</v>
      </c>
      <c r="G108" s="14">
        <v>0</v>
      </c>
      <c r="H108" s="14"/>
      <c r="I108" s="14"/>
      <c r="J108" s="14">
        <f t="shared" si="25"/>
        <v>0.55799309229472238</v>
      </c>
      <c r="K108" s="14">
        <f t="shared" si="26"/>
        <v>0.3356035906910747</v>
      </c>
      <c r="L108" s="14"/>
      <c r="M108" s="14"/>
    </row>
    <row r="109" spans="1:17">
      <c r="A109">
        <v>53.5</v>
      </c>
      <c r="B109" s="4">
        <v>64297</v>
      </c>
      <c r="C109" s="14">
        <v>0.41865796586185228</v>
      </c>
      <c r="D109" s="14">
        <v>0.44652860355843721</v>
      </c>
      <c r="E109" s="14">
        <v>8.5184234961502292E-3</v>
      </c>
      <c r="F109" s="14">
        <v>0.51388888888888884</v>
      </c>
      <c r="G109" s="14">
        <v>0</v>
      </c>
      <c r="H109" s="14"/>
      <c r="I109" s="14"/>
      <c r="J109" s="14">
        <f t="shared" si="25"/>
        <v>0.55982577724708593</v>
      </c>
      <c r="K109" s="14">
        <f t="shared" si="26"/>
        <v>0.33414088123623248</v>
      </c>
      <c r="L109" s="14"/>
      <c r="M109" s="14"/>
    </row>
    <row r="110" spans="1:17">
      <c r="A110">
        <v>54</v>
      </c>
      <c r="B110" s="4">
        <v>64479</v>
      </c>
      <c r="C110" s="14">
        <v>0.41652316909722831</v>
      </c>
      <c r="D110" s="14">
        <v>0.44460526621556679</v>
      </c>
      <c r="E110" s="14">
        <v>8.5568116809111999E-3</v>
      </c>
      <c r="F110" s="14">
        <v>0.50555555555555554</v>
      </c>
      <c r="G110" s="14">
        <v>0</v>
      </c>
      <c r="H110" s="14"/>
      <c r="I110" s="14"/>
      <c r="J110" s="14">
        <f t="shared" si="25"/>
        <v>0.56162763301931828</v>
      </c>
      <c r="K110" s="14">
        <f t="shared" si="26"/>
        <v>0.33270163270984515</v>
      </c>
      <c r="L110" s="14"/>
      <c r="M110" s="14"/>
    </row>
    <row r="111" spans="1:17">
      <c r="A111">
        <v>54.5</v>
      </c>
      <c r="B111" s="4">
        <v>64662</v>
      </c>
      <c r="C111" s="14">
        <v>0.41440051403291073</v>
      </c>
      <c r="D111" s="14">
        <v>0.44267175799546321</v>
      </c>
      <c r="E111" s="14">
        <v>8.5926166609796902E-3</v>
      </c>
      <c r="F111" s="14">
        <v>0.5083333333333333</v>
      </c>
      <c r="G111" s="14">
        <v>0</v>
      </c>
      <c r="H111" s="14"/>
      <c r="I111" s="14"/>
      <c r="J111" s="14">
        <f t="shared" si="25"/>
        <v>0.56343769860626047</v>
      </c>
      <c r="K111" s="14">
        <f t="shared" si="26"/>
        <v>0.33125474066630894</v>
      </c>
      <c r="L111" s="14"/>
      <c r="M111" s="14"/>
    </row>
    <row r="112" spans="1:17">
      <c r="A112">
        <v>55</v>
      </c>
      <c r="B112" s="4">
        <v>64843</v>
      </c>
      <c r="C112" s="14">
        <v>0.41232330304732701</v>
      </c>
      <c r="D112" s="14">
        <v>0.4407604879776853</v>
      </c>
      <c r="E112" s="14">
        <v>8.6246864987292293E-3</v>
      </c>
      <c r="F112" s="14">
        <v>0.50277777777777777</v>
      </c>
      <c r="G112" s="14">
        <v>0</v>
      </c>
      <c r="H112" s="14"/>
      <c r="I112" s="14"/>
      <c r="J112" s="14">
        <f t="shared" si="25"/>
        <v>0.56522565643878153</v>
      </c>
      <c r="K112" s="14">
        <f t="shared" si="26"/>
        <v>0.32982452235523074</v>
      </c>
      <c r="L112" s="14"/>
      <c r="M112" s="14"/>
    </row>
    <row r="113" spans="1:13">
      <c r="A113">
        <v>55.5</v>
      </c>
      <c r="B113" s="4">
        <v>65027</v>
      </c>
      <c r="C113" s="14">
        <v>0.41023303462068861</v>
      </c>
      <c r="D113" s="14">
        <v>0.43881938792169117</v>
      </c>
      <c r="E113" s="14">
        <v>8.6545958585986602E-3</v>
      </c>
      <c r="F113" s="14">
        <v>0.51111111111111107</v>
      </c>
      <c r="G113" s="14">
        <v>0</v>
      </c>
      <c r="H113" s="14"/>
      <c r="I113" s="14"/>
      <c r="J113" s="14">
        <f t="shared" si="25"/>
        <v>0.56704030590138677</v>
      </c>
      <c r="K113" s="14">
        <f t="shared" si="26"/>
        <v>0.32837198199311823</v>
      </c>
      <c r="L113" s="14"/>
      <c r="M113" s="14"/>
    </row>
    <row r="114" spans="1:13">
      <c r="A114">
        <v>56</v>
      </c>
      <c r="B114" s="4">
        <v>65208</v>
      </c>
      <c r="C114" s="14">
        <v>0.40819661459807471</v>
      </c>
      <c r="D114" s="14">
        <v>0.43691244865275902</v>
      </c>
      <c r="E114" s="14">
        <v>8.6809322952843097E-3</v>
      </c>
      <c r="F114" s="14">
        <v>0.50277777777777777</v>
      </c>
      <c r="G114" s="14">
        <v>0</v>
      </c>
      <c r="H114" s="14"/>
      <c r="I114" s="14"/>
      <c r="J114" s="14">
        <f t="shared" si="25"/>
        <v>0.56882191261967208</v>
      </c>
      <c r="K114" s="14">
        <f t="shared" si="26"/>
        <v>0.32694500441529178</v>
      </c>
      <c r="L114" s="14"/>
      <c r="M114" s="14"/>
    </row>
    <row r="115" spans="1:13">
      <c r="A115">
        <v>56.5</v>
      </c>
      <c r="B115" s="4">
        <v>65392</v>
      </c>
      <c r="C115" s="14">
        <v>0.40614527843017612</v>
      </c>
      <c r="D115" s="14">
        <v>0.43497715428004807</v>
      </c>
      <c r="E115" s="14">
        <v>8.7049296142755594E-3</v>
      </c>
      <c r="F115" s="14">
        <v>0.51111111111111107</v>
      </c>
      <c r="G115" s="14">
        <v>0</v>
      </c>
      <c r="H115" s="14"/>
      <c r="I115" s="14"/>
      <c r="J115" s="14">
        <f t="shared" si="25"/>
        <v>0.57062892860686798</v>
      </c>
      <c r="K115" s="14">
        <f t="shared" si="26"/>
        <v>0.32549680849141294</v>
      </c>
      <c r="L115" s="14"/>
      <c r="M115" s="14"/>
    </row>
    <row r="116" spans="1:13">
      <c r="A116">
        <v>57</v>
      </c>
      <c r="B116" s="4">
        <v>65573</v>
      </c>
      <c r="C116" s="14">
        <v>0.40414470883480152</v>
      </c>
      <c r="D116" s="14">
        <v>0.43307728307130727</v>
      </c>
      <c r="E116" s="14">
        <v>8.7253465216486307E-3</v>
      </c>
      <c r="F116" s="14">
        <v>0.50277777777777777</v>
      </c>
      <c r="G116" s="14">
        <v>0</v>
      </c>
      <c r="H116" s="14"/>
      <c r="I116" s="14"/>
      <c r="J116" s="14">
        <f t="shared" si="25"/>
        <v>0.57240187520668706</v>
      </c>
      <c r="K116" s="14">
        <f t="shared" si="26"/>
        <v>0.32407511999833932</v>
      </c>
      <c r="L116" s="14"/>
      <c r="M116" s="14"/>
    </row>
    <row r="117" spans="1:13">
      <c r="A117">
        <v>57.5</v>
      </c>
      <c r="B117" s="4">
        <v>65757</v>
      </c>
      <c r="C117" s="14">
        <v>0.40212737607779281</v>
      </c>
      <c r="D117" s="14">
        <v>0.43115052977559809</v>
      </c>
      <c r="E117" s="14">
        <v>8.7434305391164303E-3</v>
      </c>
      <c r="F117" s="14">
        <v>0.51111111111111107</v>
      </c>
      <c r="G117" s="14">
        <v>0</v>
      </c>
      <c r="H117" s="14"/>
      <c r="I117" s="14"/>
      <c r="J117" s="14">
        <f t="shared" si="25"/>
        <v>0.57419892796122274</v>
      </c>
      <c r="K117" s="14">
        <f t="shared" si="26"/>
        <v>0.32263331542921964</v>
      </c>
      <c r="L117" s="14"/>
      <c r="M117" s="14"/>
    </row>
    <row r="118" spans="1:13">
      <c r="A118">
        <v>58</v>
      </c>
      <c r="B118" s="4">
        <v>65939</v>
      </c>
      <c r="C118" s="14">
        <v>0.40014705654540328</v>
      </c>
      <c r="D118" s="14">
        <v>0.42924994370055652</v>
      </c>
      <c r="E118" s="14">
        <v>8.7580699374005203E-3</v>
      </c>
      <c r="F118" s="14">
        <v>0.50555555555555554</v>
      </c>
      <c r="G118" s="14">
        <v>0</v>
      </c>
      <c r="H118" s="14"/>
      <c r="I118" s="14"/>
      <c r="J118" s="14">
        <f t="shared" si="25"/>
        <v>0.57597065544727122</v>
      </c>
      <c r="K118" s="14">
        <f t="shared" si="26"/>
        <v>0.32121109199609893</v>
      </c>
      <c r="L118" s="14"/>
      <c r="M118" s="14"/>
    </row>
    <row r="119" spans="1:13">
      <c r="A119">
        <v>58.5</v>
      </c>
      <c r="B119" s="4">
        <v>66124</v>
      </c>
      <c r="C119" s="14">
        <v>0.39814828570278787</v>
      </c>
      <c r="D119" s="14">
        <v>0.42732401412408821</v>
      </c>
      <c r="E119" s="14">
        <v>8.77028841729857E-3</v>
      </c>
      <c r="F119" s="14">
        <v>0.51388888888888884</v>
      </c>
      <c r="G119" s="14">
        <v>0</v>
      </c>
      <c r="H119" s="14"/>
      <c r="I119" s="14"/>
      <c r="J119" s="14">
        <f t="shared" si="25"/>
        <v>0.57776509136453869</v>
      </c>
      <c r="K119" s="14">
        <f t="shared" si="26"/>
        <v>0.31976990382253323</v>
      </c>
      <c r="L119" s="14"/>
      <c r="M119" s="14"/>
    </row>
    <row r="120" spans="1:13">
      <c r="A120">
        <v>59</v>
      </c>
      <c r="B120" s="4">
        <v>66306</v>
      </c>
      <c r="C120" s="14">
        <v>0.39619474870736199</v>
      </c>
      <c r="D120" s="14">
        <v>0.42543583897085763</v>
      </c>
      <c r="E120" s="14">
        <v>8.7788841684794394E-3</v>
      </c>
      <c r="F120" s="14">
        <v>0.50555555555555554</v>
      </c>
      <c r="G120" s="14">
        <v>0</v>
      </c>
      <c r="H120" s="14"/>
      <c r="I120" s="14"/>
      <c r="J120" s="14">
        <f t="shared" si="25"/>
        <v>0.57952348831144218</v>
      </c>
      <c r="K120" s="14">
        <f t="shared" si="26"/>
        <v>0.31835696757932624</v>
      </c>
      <c r="L120" s="14"/>
      <c r="M120" s="14"/>
    </row>
    <row r="121" spans="1:13">
      <c r="A121">
        <v>59.5</v>
      </c>
      <c r="B121" s="4">
        <v>66488</v>
      </c>
      <c r="C121" s="14">
        <v>0.39425281878583501</v>
      </c>
      <c r="D121" s="14">
        <v>0.4235547524322909</v>
      </c>
      <c r="E121" s="14">
        <v>8.7850042128156895E-3</v>
      </c>
      <c r="F121" s="14">
        <v>0.50555555555555554</v>
      </c>
      <c r="G121" s="14">
        <v>0</v>
      </c>
      <c r="H121" s="14"/>
      <c r="I121" s="14"/>
      <c r="J121" s="14">
        <f t="shared" si="25"/>
        <v>0.58127448638549373</v>
      </c>
      <c r="K121" s="14">
        <f>(K122*(G122/100*I122-J121+C122))/C122</f>
        <v>0.31694929822524648</v>
      </c>
      <c r="L121" s="14"/>
      <c r="M121" s="14"/>
    </row>
    <row r="122" spans="1:13">
      <c r="A122">
        <v>60</v>
      </c>
      <c r="B122" s="4">
        <v>66670</v>
      </c>
      <c r="C122" s="14">
        <v>0.39232141315840419</v>
      </c>
      <c r="D122" s="14">
        <v>0.42168135874896218</v>
      </c>
      <c r="E122" s="14">
        <v>8.7877109154303693E-3</v>
      </c>
      <c r="F122" s="14">
        <v>0.50555555555555554</v>
      </c>
      <c r="G122" s="14">
        <v>1.6130905149708363</v>
      </c>
      <c r="H122" s="14">
        <v>0.99722222222222223</v>
      </c>
      <c r="I122" s="14">
        <v>36.236229389371289</v>
      </c>
      <c r="J122" s="14">
        <f t="shared" si="25"/>
        <v>0.58301744334101591</v>
      </c>
      <c r="K122" s="15">
        <f>(C122*Q103)/(G122/100*I122-J121+C122)</f>
        <v>0.31434629331670899</v>
      </c>
      <c r="L122" s="15">
        <v>0.31434629331670899</v>
      </c>
      <c r="M122" s="14">
        <f>K122</f>
        <v>0.31434629331670899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585A-690A-4249-B865-6F2DD8D626EB}">
  <sheetPr codeName="Sheet10"/>
  <dimension ref="A1:P122"/>
  <sheetViews>
    <sheetView zoomScaleNormal="100" workbookViewId="0">
      <pane ySplit="1" topLeftCell="A2" activePane="bottomLeft" state="frozen"/>
      <selection pane="bottomLeft" activeCell="S14" sqref="S14"/>
    </sheetView>
  </sheetViews>
  <sheetFormatPr defaultRowHeight="14.4"/>
  <cols>
    <col min="1" max="1" width="5.109375" bestFit="1" customWidth="1"/>
    <col min="2" max="2" width="10.5546875" bestFit="1" customWidth="1"/>
    <col min="3" max="8" width="6.5546875" bestFit="1" customWidth="1"/>
    <col min="9" max="9" width="7.5546875" bestFit="1" customWidth="1"/>
    <col min="10" max="10" width="6.5546875" bestFit="1" customWidth="1"/>
    <col min="11" max="11" width="9.33203125" bestFit="1" customWidth="1"/>
    <col min="12" max="13" width="6.5546875" bestFit="1" customWidth="1"/>
    <col min="15" max="15" width="10.5546875" bestFit="1" customWidth="1"/>
    <col min="16" max="16" width="6.5546875" bestFit="1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4</v>
      </c>
      <c r="G1" s="1" t="s">
        <v>22</v>
      </c>
      <c r="H1" s="2" t="s">
        <v>5</v>
      </c>
      <c r="I1" s="2" t="s">
        <v>6</v>
      </c>
      <c r="J1" s="2" t="s">
        <v>7</v>
      </c>
      <c r="K1" s="9" t="s">
        <v>18</v>
      </c>
      <c r="M1" s="10" t="s">
        <v>19</v>
      </c>
    </row>
    <row r="2" spans="1:13">
      <c r="A2">
        <v>0</v>
      </c>
      <c r="B2" s="4">
        <v>44754</v>
      </c>
      <c r="D2">
        <v>1</v>
      </c>
      <c r="E2">
        <v>0</v>
      </c>
      <c r="F2">
        <v>0</v>
      </c>
      <c r="K2" s="14">
        <f>K3*(1+G3/100*F3)</f>
        <v>1.0000000033675753</v>
      </c>
    </row>
    <row r="3" spans="1:13">
      <c r="A3">
        <v>0.5</v>
      </c>
      <c r="B3" s="4">
        <v>44938</v>
      </c>
      <c r="C3" s="14">
        <v>0.99904288423151055</v>
      </c>
      <c r="D3" s="14">
        <v>0.99801063213993446</v>
      </c>
      <c r="E3" s="14">
        <v>3.89999999999991E-3</v>
      </c>
      <c r="F3" s="14">
        <v>0.51111111111111107</v>
      </c>
      <c r="G3" s="14">
        <v>0.39005098427875484</v>
      </c>
      <c r="H3" s="14"/>
      <c r="I3" s="14"/>
      <c r="J3" s="14">
        <f>E3*F3*C3</f>
        <v>1.9914254825680981E-3</v>
      </c>
      <c r="K3" s="14">
        <f>K4*(1+G4/100*F4)</f>
        <v>0.99801037595033615</v>
      </c>
      <c r="L3" s="14"/>
      <c r="M3" s="14">
        <f t="shared" ref="M3:M5" si="0">K3</f>
        <v>0.99801037595033615</v>
      </c>
    </row>
    <row r="4" spans="1:13">
      <c r="A4">
        <v>1</v>
      </c>
      <c r="B4" s="4">
        <v>45119</v>
      </c>
      <c r="C4" s="14">
        <v>0.99324592130854139</v>
      </c>
      <c r="D4" s="14">
        <v>0.99104474380986662</v>
      </c>
      <c r="E4" s="14">
        <v>1.3979999999904E-2</v>
      </c>
      <c r="F4" s="14">
        <v>0.50277777777777777</v>
      </c>
      <c r="G4" s="14">
        <v>1.3986412165992588</v>
      </c>
      <c r="H4" s="14">
        <v>1</v>
      </c>
      <c r="I4" s="14">
        <v>0.99324592130854139</v>
      </c>
      <c r="J4" s="14">
        <f t="shared" ref="J4:J35" si="1">J3+(E4*F4*C4)</f>
        <v>8.9727855224110108E-3</v>
      </c>
      <c r="K4" s="14">
        <f>K5*(1+G5/100*F5)</f>
        <v>0.99104131669611384</v>
      </c>
      <c r="L4" s="14"/>
      <c r="M4" s="14">
        <f t="shared" si="0"/>
        <v>0.99104131669611384</v>
      </c>
    </row>
    <row r="5" spans="1:13">
      <c r="A5">
        <v>1.5</v>
      </c>
      <c r="B5" s="4">
        <v>45303</v>
      </c>
      <c r="C5" s="14">
        <v>0.9860284425870447</v>
      </c>
      <c r="D5" s="14">
        <v>0.98259746260138792</v>
      </c>
      <c r="E5" s="14">
        <v>1.6819999999980999E-2</v>
      </c>
      <c r="F5" s="14">
        <v>0.51111111111111107</v>
      </c>
      <c r="G5" s="14">
        <v>1.6829421190010059</v>
      </c>
      <c r="H5" s="14"/>
      <c r="I5" s="14"/>
      <c r="J5" s="14">
        <f t="shared" si="1"/>
        <v>1.7449562484606416E-2</v>
      </c>
      <c r="K5" s="14">
        <f>(K6*(G6/100*I6-J5+C6)/C6)</f>
        <v>0.98258937359001575</v>
      </c>
      <c r="L5" s="14"/>
      <c r="M5" s="14">
        <f t="shared" si="0"/>
        <v>0.98258937359001575</v>
      </c>
    </row>
    <row r="6" spans="1:13">
      <c r="A6">
        <v>2</v>
      </c>
      <c r="B6" s="4">
        <v>45485</v>
      </c>
      <c r="C6" s="14">
        <v>0.97878176388692029</v>
      </c>
      <c r="D6" s="14">
        <v>0.97444692296927427</v>
      </c>
      <c r="E6" s="14">
        <v>1.6544714899334002E-2</v>
      </c>
      <c r="F6" s="14">
        <v>0.50555555555555554</v>
      </c>
      <c r="G6" s="14">
        <v>1.302218954116382</v>
      </c>
      <c r="H6" s="14">
        <v>1</v>
      </c>
      <c r="I6" s="14">
        <v>1.9720276851954619</v>
      </c>
      <c r="J6" s="14">
        <f t="shared" si="1"/>
        <v>2.5636359907540013E-2</v>
      </c>
      <c r="K6" s="14">
        <f>K7*(1+E7*F7)</f>
        <v>0.97439570009818133</v>
      </c>
      <c r="L6" s="14"/>
      <c r="M6" s="14">
        <f>K6</f>
        <v>0.97439570009818133</v>
      </c>
    </row>
    <row r="7" spans="1:13">
      <c r="A7">
        <v>2.5</v>
      </c>
      <c r="B7" s="4">
        <v>45670</v>
      </c>
      <c r="C7" s="14">
        <v>0.9715063307647499</v>
      </c>
      <c r="D7" s="14">
        <v>0.96605078949251333</v>
      </c>
      <c r="E7" s="14">
        <v>1.69125910132602E-2</v>
      </c>
      <c r="F7" s="14">
        <v>0.51388888888888884</v>
      </c>
      <c r="G7" s="14">
        <v>0</v>
      </c>
      <c r="H7" s="14"/>
      <c r="I7" s="14"/>
      <c r="J7" s="14">
        <f t="shared" si="1"/>
        <v>3.4079908544257236E-2</v>
      </c>
      <c r="K7" s="14">
        <f>(K8*(G8/100*I8-J7+C8)/C8)</f>
        <v>0.96600000797338381</v>
      </c>
      <c r="L7" s="14"/>
      <c r="M7" s="14"/>
    </row>
    <row r="8" spans="1:13">
      <c r="A8">
        <v>3</v>
      </c>
      <c r="B8" s="4">
        <v>45852</v>
      </c>
      <c r="C8" s="14">
        <v>0.96404622206233692</v>
      </c>
      <c r="D8" s="14">
        <v>0.95729638500968794</v>
      </c>
      <c r="E8" s="14">
        <v>1.8088864371244101E-2</v>
      </c>
      <c r="F8" s="14">
        <v>0.50555555555555554</v>
      </c>
      <c r="G8" s="14">
        <v>1.4652404862420765</v>
      </c>
      <c r="H8" s="14">
        <v>1.005555555555556</v>
      </c>
      <c r="I8" s="14">
        <v>2.9414297196025889</v>
      </c>
      <c r="J8" s="14">
        <f t="shared" si="1"/>
        <v>4.2896039786607928E-2</v>
      </c>
      <c r="K8" s="14">
        <f>K9*(1+E9*F9)</f>
        <v>0.9570463842016097</v>
      </c>
      <c r="L8" s="14"/>
      <c r="M8" s="14">
        <f t="shared" ref="M8" si="2">K8</f>
        <v>0.9570463842016097</v>
      </c>
    </row>
    <row r="9" spans="1:13">
      <c r="A9">
        <v>3.5</v>
      </c>
      <c r="B9" s="4">
        <v>46034</v>
      </c>
      <c r="C9" s="14">
        <v>0.95592389246503651</v>
      </c>
      <c r="D9" s="14">
        <v>0.94796491452005915</v>
      </c>
      <c r="E9" s="14">
        <v>1.9479741902559099E-2</v>
      </c>
      <c r="F9" s="14">
        <v>0.50555555555555554</v>
      </c>
      <c r="G9" s="14">
        <v>0</v>
      </c>
      <c r="H9" s="14"/>
      <c r="I9" s="14"/>
      <c r="J9" s="14">
        <f t="shared" si="1"/>
        <v>5.2310065975705033E-2</v>
      </c>
      <c r="K9" s="14">
        <f>(K10*(G10/100*I10-J9+C10)/C10)</f>
        <v>0.94771321749288262</v>
      </c>
      <c r="L9" s="14"/>
      <c r="M9" s="14"/>
    </row>
    <row r="10" spans="1:13">
      <c r="A10">
        <v>4</v>
      </c>
      <c r="B10" s="4">
        <v>46216</v>
      </c>
      <c r="C10" s="14">
        <v>0.94713494159022615</v>
      </c>
      <c r="D10" s="14">
        <v>0.93807952562658103</v>
      </c>
      <c r="E10" s="14">
        <v>2.0844199194661701E-2</v>
      </c>
      <c r="F10" s="14">
        <v>0.50555555555555554</v>
      </c>
      <c r="G10" s="14">
        <v>1.6108635522042472</v>
      </c>
      <c r="H10" s="14">
        <v>0.99722222222222223</v>
      </c>
      <c r="I10" s="14">
        <v>3.885933730799509</v>
      </c>
      <c r="J10" s="14">
        <f t="shared" si="1"/>
        <v>6.2290879943441235E-2</v>
      </c>
      <c r="K10" s="14">
        <f>K11*(1+E11*F11)</f>
        <v>0.93753050902093793</v>
      </c>
      <c r="L10" s="14"/>
      <c r="M10" s="14">
        <f t="shared" ref="M10" si="3">K10</f>
        <v>0.93753050902093793</v>
      </c>
    </row>
    <row r="11" spans="1:13">
      <c r="A11">
        <v>4.5</v>
      </c>
      <c r="B11" s="4">
        <v>46399</v>
      </c>
      <c r="C11" s="14">
        <v>0.9377546742182391</v>
      </c>
      <c r="D11" s="14">
        <v>0.92766793341618325</v>
      </c>
      <c r="E11" s="14">
        <v>2.2082122249332401E-2</v>
      </c>
      <c r="F11" s="14">
        <v>0.5083333333333333</v>
      </c>
      <c r="G11" s="14">
        <v>0</v>
      </c>
      <c r="H11" s="14"/>
      <c r="I11" s="14"/>
      <c r="J11" s="14">
        <f t="shared" si="1"/>
        <v>7.2817250066059339E-2</v>
      </c>
      <c r="K11" s="14">
        <f>(K12*(G12/100*I12-J11+C12)/C12)</f>
        <v>0.92712347494797409</v>
      </c>
      <c r="L11" s="14"/>
      <c r="M11" s="14"/>
    </row>
    <row r="12" spans="1:13">
      <c r="A12">
        <v>5</v>
      </c>
      <c r="B12" s="4">
        <v>46580</v>
      </c>
      <c r="C12" s="14">
        <v>0.92824283734542401</v>
      </c>
      <c r="D12" s="14">
        <v>0.91712844122432902</v>
      </c>
      <c r="E12" s="14">
        <v>2.2856695926326401E-2</v>
      </c>
      <c r="F12" s="14">
        <v>0.50277777777777777</v>
      </c>
      <c r="G12" s="14">
        <v>1.7451360237501543</v>
      </c>
      <c r="H12" s="14">
        <v>0.99722222222222223</v>
      </c>
      <c r="I12" s="14">
        <v>4.811598115818974</v>
      </c>
      <c r="J12" s="14">
        <f t="shared" si="1"/>
        <v>8.3484467106331728E-2</v>
      </c>
      <c r="K12" s="14">
        <f>K13*(1+E13*F13)</f>
        <v>0.9161174642378439</v>
      </c>
      <c r="L12" s="14"/>
      <c r="M12" s="14">
        <f t="shared" ref="M12" si="4">K12</f>
        <v>0.9161174642378439</v>
      </c>
    </row>
    <row r="13" spans="1:13">
      <c r="A13">
        <v>5.5</v>
      </c>
      <c r="B13" s="4">
        <v>46764</v>
      </c>
      <c r="C13" s="14">
        <v>0.9185963965955859</v>
      </c>
      <c r="D13" s="14">
        <v>0.90637502877283138</v>
      </c>
      <c r="E13" s="14">
        <v>2.3212560544255901E-2</v>
      </c>
      <c r="F13" s="14">
        <v>0.51111111111111107</v>
      </c>
      <c r="G13" s="14">
        <v>0</v>
      </c>
      <c r="H13" s="14"/>
      <c r="I13" s="14"/>
      <c r="J13" s="14">
        <f t="shared" si="1"/>
        <v>9.438287628076146E-2</v>
      </c>
      <c r="K13" s="14">
        <f>(K14*(G14/100*I14-J13+C14)/C14)</f>
        <v>0.90537590558132852</v>
      </c>
      <c r="L13" s="14"/>
      <c r="M13" s="14"/>
    </row>
    <row r="14" spans="1:13">
      <c r="A14">
        <v>6</v>
      </c>
      <c r="B14" s="4">
        <v>46946</v>
      </c>
      <c r="C14" s="14">
        <v>0.90901718303320767</v>
      </c>
      <c r="D14" s="14">
        <v>0.89571111788568369</v>
      </c>
      <c r="E14" s="14">
        <v>2.3549389624901301E-2</v>
      </c>
      <c r="F14" s="14">
        <v>0.50555555555555554</v>
      </c>
      <c r="G14" s="14">
        <v>1.8528185203156897</v>
      </c>
      <c r="H14" s="14">
        <v>1</v>
      </c>
      <c r="I14" s="14">
        <v>5.7206152988521817</v>
      </c>
      <c r="J14" s="14">
        <f t="shared" si="1"/>
        <v>0.10520520285591206</v>
      </c>
      <c r="K14" s="14">
        <f>K15*(1+E15*F15)</f>
        <v>0.89395848807009515</v>
      </c>
      <c r="L14" s="14"/>
      <c r="M14" s="14">
        <f t="shared" ref="M14" si="5">K14</f>
        <v>0.89395848807009515</v>
      </c>
    </row>
    <row r="15" spans="1:13">
      <c r="A15">
        <v>6.5</v>
      </c>
      <c r="B15" s="4">
        <v>47130</v>
      </c>
      <c r="C15" s="14">
        <v>0.89917826917514665</v>
      </c>
      <c r="D15" s="14">
        <v>0.88485868785708344</v>
      </c>
      <c r="E15" s="14">
        <v>2.39959391987998E-2</v>
      </c>
      <c r="F15" s="14">
        <v>0.51111111111111107</v>
      </c>
      <c r="G15" s="14">
        <v>0</v>
      </c>
      <c r="H15" s="14"/>
      <c r="I15" s="14"/>
      <c r="J15" s="14">
        <f t="shared" si="1"/>
        <v>0.11623325669476103</v>
      </c>
      <c r="K15" s="14">
        <f>(K16*(G16/100*I16-J15+C16)/C16)</f>
        <v>0.88312729289284353</v>
      </c>
      <c r="L15" s="14"/>
      <c r="M15" s="14"/>
    </row>
    <row r="16" spans="1:13">
      <c r="A16">
        <v>7</v>
      </c>
      <c r="B16" s="4">
        <v>47311</v>
      </c>
      <c r="C16" s="14">
        <v>0.8893123052047649</v>
      </c>
      <c r="D16" s="14">
        <v>0.8740370041426615</v>
      </c>
      <c r="E16" s="14">
        <v>2.4625720319847801E-2</v>
      </c>
      <c r="F16" s="14">
        <v>0.50277777777777777</v>
      </c>
      <c r="G16" s="14">
        <v>1.9428722556734122</v>
      </c>
      <c r="H16" s="14">
        <v>1</v>
      </c>
      <c r="I16" s="14">
        <v>6.6099276040569466</v>
      </c>
      <c r="J16" s="14">
        <f t="shared" si="1"/>
        <v>0.12724406795864956</v>
      </c>
      <c r="K16" s="14">
        <f>K17*(1+E17*F17)</f>
        <v>0.87118653749459152</v>
      </c>
      <c r="L16" s="14"/>
      <c r="M16" s="14">
        <f t="shared" ref="M16" si="6">K16</f>
        <v>0.87118653749459152</v>
      </c>
    </row>
    <row r="17" spans="1:13">
      <c r="A17">
        <v>7.5</v>
      </c>
      <c r="B17" s="4">
        <v>47497</v>
      </c>
      <c r="C17" s="14">
        <v>0.87897161571716564</v>
      </c>
      <c r="D17" s="14">
        <v>0.86271292715050496</v>
      </c>
      <c r="E17" s="14">
        <v>2.5405401590895899E-2</v>
      </c>
      <c r="F17" s="14">
        <v>0.51666666666666672</v>
      </c>
      <c r="G17" s="14">
        <v>0</v>
      </c>
      <c r="H17" s="14"/>
      <c r="I17" s="14"/>
      <c r="J17" s="14">
        <f t="shared" si="1"/>
        <v>0.13878155851553439</v>
      </c>
      <c r="K17" s="14">
        <f>(K18*(G18/100*I18-J17+C18)/C18)</f>
        <v>0.85989939132302184</v>
      </c>
      <c r="L17" s="14"/>
      <c r="M17" s="14"/>
    </row>
    <row r="18" spans="1:13">
      <c r="A18">
        <v>8</v>
      </c>
      <c r="B18" s="4">
        <v>47676</v>
      </c>
      <c r="C18" s="14">
        <v>0.86884980767765363</v>
      </c>
      <c r="D18" s="14">
        <v>0.85168947472002765</v>
      </c>
      <c r="E18" s="14">
        <v>2.6037552195365E-2</v>
      </c>
      <c r="F18" s="14">
        <v>0.49722222222222218</v>
      </c>
      <c r="G18" s="14">
        <v>2.0284604973534499</v>
      </c>
      <c r="H18" s="14">
        <v>1</v>
      </c>
      <c r="I18" s="14">
        <v>7.4787774117346002</v>
      </c>
      <c r="J18" s="14">
        <f t="shared" si="1"/>
        <v>0.15003007872915611</v>
      </c>
      <c r="K18" s="14">
        <f>K19*(1+E19*F19)</f>
        <v>0.84729745458225258</v>
      </c>
      <c r="L18" s="14"/>
      <c r="M18" s="14">
        <f t="shared" ref="M18" si="7">K18</f>
        <v>0.84729745458225258</v>
      </c>
    </row>
    <row r="19" spans="1:13">
      <c r="A19">
        <v>8.5</v>
      </c>
      <c r="B19" s="4">
        <v>47861</v>
      </c>
      <c r="C19" s="14">
        <v>0.85822803261302394</v>
      </c>
      <c r="D19" s="14">
        <v>0.84022535250532049</v>
      </c>
      <c r="E19" s="14">
        <v>2.6550689146691599E-2</v>
      </c>
      <c r="F19" s="14">
        <v>0.51388888888888884</v>
      </c>
      <c r="G19" s="14">
        <v>0</v>
      </c>
      <c r="H19" s="14"/>
      <c r="I19" s="14"/>
      <c r="J19" s="14">
        <f t="shared" si="1"/>
        <v>0.16173983138613873</v>
      </c>
      <c r="K19" s="14">
        <f>(K20*(G20/100*I20-J19+C20)/C20)</f>
        <v>0.83589245092791686</v>
      </c>
      <c r="L19" s="14"/>
      <c r="M19" s="14"/>
    </row>
    <row r="20" spans="1:13">
      <c r="A20">
        <v>9</v>
      </c>
      <c r="B20" s="4">
        <v>48043</v>
      </c>
      <c r="C20" s="14">
        <v>0.84757139217307043</v>
      </c>
      <c r="D20" s="14">
        <v>0.82878111312407454</v>
      </c>
      <c r="E20" s="14">
        <v>2.73135531920118E-2</v>
      </c>
      <c r="F20" s="14">
        <v>0.50555555555555554</v>
      </c>
      <c r="G20" s="14">
        <v>2.1106231872065946</v>
      </c>
      <c r="H20" s="14">
        <v>1.005555555555556</v>
      </c>
      <c r="I20" s="14">
        <v>8.3310575338641879</v>
      </c>
      <c r="J20" s="14">
        <f t="shared" si="1"/>
        <v>0.1734435366843462</v>
      </c>
      <c r="K20" s="14">
        <f>K21*(1+E21*F21)</f>
        <v>0.82221676615207395</v>
      </c>
      <c r="L20" s="14"/>
      <c r="M20" s="14">
        <f t="shared" ref="M20" si="8">K20</f>
        <v>0.82221676615207395</v>
      </c>
    </row>
    <row r="21" spans="1:13">
      <c r="A21">
        <v>9.5</v>
      </c>
      <c r="B21" s="4">
        <v>48225</v>
      </c>
      <c r="C21" s="14">
        <v>0.83669069416023167</v>
      </c>
      <c r="D21" s="14">
        <v>0.81711882271219038</v>
      </c>
      <c r="E21" s="14">
        <v>2.8236771671545199E-2</v>
      </c>
      <c r="F21" s="14">
        <v>0.50555555555555554</v>
      </c>
      <c r="G21" s="14">
        <v>0</v>
      </c>
      <c r="H21" s="14"/>
      <c r="I21" s="14"/>
      <c r="J21" s="14">
        <f t="shared" si="1"/>
        <v>0.18538751119687136</v>
      </c>
      <c r="K21" s="14">
        <f>(K22*(G22/100*I22-J21+C22)/C22)</f>
        <v>0.81064460623307089</v>
      </c>
      <c r="L21" s="14"/>
      <c r="M21" s="14"/>
    </row>
    <row r="22" spans="1:13">
      <c r="A22">
        <v>10</v>
      </c>
      <c r="B22" s="4">
        <v>48407</v>
      </c>
      <c r="C22" s="14">
        <v>0.8257303052243582</v>
      </c>
      <c r="D22" s="14">
        <v>0.80547248666946025</v>
      </c>
      <c r="E22" s="14">
        <v>2.8600242760871801E-2</v>
      </c>
      <c r="F22" s="14">
        <v>0.50555555555555554</v>
      </c>
      <c r="G22" s="14">
        <v>2.1893445780333387</v>
      </c>
      <c r="H22" s="14">
        <v>0.99444444444444446</v>
      </c>
      <c r="I22" s="14">
        <v>9.152200448503967</v>
      </c>
      <c r="J22" s="14">
        <f t="shared" si="1"/>
        <v>0.19732675527344198</v>
      </c>
      <c r="K22" s="14">
        <f>K23*(1+E23*F23)</f>
        <v>0.79619493321510515</v>
      </c>
      <c r="L22" s="14"/>
      <c r="M22" s="14">
        <f t="shared" ref="M22" si="9">K22</f>
        <v>0.79619493321510515</v>
      </c>
    </row>
    <row r="23" spans="1:13">
      <c r="A23">
        <v>10.5</v>
      </c>
      <c r="B23" s="4">
        <v>48591</v>
      </c>
      <c r="C23" s="14">
        <v>0.8146912703004634</v>
      </c>
      <c r="D23" s="14">
        <v>0.79392771566848708</v>
      </c>
      <c r="E23" s="14">
        <v>2.8450443271989499E-2</v>
      </c>
      <c r="F23" s="14">
        <v>0.51111111111111107</v>
      </c>
      <c r="G23" s="14">
        <v>0</v>
      </c>
      <c r="H23" s="14"/>
      <c r="I23" s="14"/>
      <c r="J23" s="14">
        <f t="shared" si="1"/>
        <v>0.20917345613359695</v>
      </c>
      <c r="K23" s="14">
        <f>(K24*(G24/100*I24-J23+C24)/C24)</f>
        <v>0.7847831366258623</v>
      </c>
      <c r="L23" s="14"/>
      <c r="M23" s="14"/>
    </row>
    <row r="24" spans="1:13">
      <c r="A24">
        <v>11</v>
      </c>
      <c r="B24" s="4">
        <v>48772</v>
      </c>
      <c r="C24" s="14">
        <v>0.8037668893231964</v>
      </c>
      <c r="D24" s="14">
        <v>0.78267545028228147</v>
      </c>
      <c r="E24" s="14">
        <v>2.8594478516200401E-2</v>
      </c>
      <c r="F24" s="14">
        <v>0.50277777777777777</v>
      </c>
      <c r="G24" s="14">
        <v>2.2563946396671382</v>
      </c>
      <c r="H24" s="14">
        <v>1</v>
      </c>
      <c r="I24" s="14">
        <v>9.9559673378271629</v>
      </c>
      <c r="J24" s="14">
        <f t="shared" si="1"/>
        <v>0.22072894614423624</v>
      </c>
      <c r="K24" s="14">
        <f>K25*(1+E25*F25)</f>
        <v>0.76996143214175761</v>
      </c>
      <c r="L24" s="14"/>
      <c r="M24" s="14">
        <f t="shared" ref="M24" si="10">K24</f>
        <v>0.76996143214175761</v>
      </c>
    </row>
    <row r="25" spans="1:13">
      <c r="A25">
        <v>11.5</v>
      </c>
      <c r="B25" s="4">
        <v>48956</v>
      </c>
      <c r="C25" s="14">
        <v>0.79251290448087985</v>
      </c>
      <c r="D25" s="14">
        <v>0.77121663179798594</v>
      </c>
      <c r="E25" s="14">
        <v>2.90702074422408E-2</v>
      </c>
      <c r="F25" s="14">
        <v>0.51111111111111107</v>
      </c>
      <c r="G25" s="14">
        <v>0</v>
      </c>
      <c r="H25" s="14"/>
      <c r="I25" s="14"/>
      <c r="J25" s="14">
        <f t="shared" si="1"/>
        <v>0.23250418690601346</v>
      </c>
      <c r="K25" s="14">
        <f>(K26*(G26/100*I26-J25+C26)/C26)</f>
        <v>0.75868875419122461</v>
      </c>
      <c r="L25" s="14"/>
      <c r="M25" s="14"/>
    </row>
    <row r="26" spans="1:13">
      <c r="A26">
        <v>12</v>
      </c>
      <c r="B26" s="4">
        <v>49137</v>
      </c>
      <c r="C26" s="14">
        <v>0.78150798192835358</v>
      </c>
      <c r="D26" s="14">
        <v>0.76007457235941267</v>
      </c>
      <c r="E26" s="14">
        <v>2.9156352552981098E-2</v>
      </c>
      <c r="F26" s="14">
        <v>0.50277777777777777</v>
      </c>
      <c r="G26" s="14">
        <v>2.3178636923775877</v>
      </c>
      <c r="H26" s="14">
        <v>1</v>
      </c>
      <c r="I26" s="14">
        <v>10.73747531975552</v>
      </c>
      <c r="J26" s="14">
        <f t="shared" si="1"/>
        <v>0.24396044225650515</v>
      </c>
      <c r="K26" s="14">
        <f>K27*(1+E27*F27)</f>
        <v>0.74311734334150759</v>
      </c>
      <c r="L26" s="14"/>
      <c r="M26" s="14">
        <f t="shared" ref="M26" si="11">K26</f>
        <v>0.74311734334150759</v>
      </c>
    </row>
    <row r="27" spans="1:13">
      <c r="A27">
        <v>12.5</v>
      </c>
      <c r="B27" s="4">
        <v>49321</v>
      </c>
      <c r="C27" s="14">
        <v>0.77061478256932514</v>
      </c>
      <c r="D27" s="14">
        <v>0.74906175653772222</v>
      </c>
      <c r="E27" s="14">
        <v>2.8765069603566101E-2</v>
      </c>
      <c r="F27" s="14">
        <v>0.51111111111111107</v>
      </c>
      <c r="G27" s="14">
        <v>0</v>
      </c>
      <c r="H27" s="14"/>
      <c r="I27" s="14"/>
      <c r="J27" s="14">
        <f t="shared" si="1"/>
        <v>0.25529013382844523</v>
      </c>
      <c r="K27" s="14">
        <f>(K28*(G28/100*I28-J27+C28)/C28)</f>
        <v>0.73235022293815044</v>
      </c>
      <c r="L27" s="14"/>
      <c r="M27" s="14"/>
    </row>
    <row r="28" spans="1:13">
      <c r="A28">
        <v>13</v>
      </c>
      <c r="B28" s="4">
        <v>49502</v>
      </c>
      <c r="C28" s="14">
        <v>0.76021383187024028</v>
      </c>
      <c r="D28" s="14">
        <v>0.73859675986976769</v>
      </c>
      <c r="E28" s="14">
        <v>2.81809495309472E-2</v>
      </c>
      <c r="F28" s="14">
        <v>0.50277777777777777</v>
      </c>
      <c r="G28" s="14">
        <v>2.366375237447274</v>
      </c>
      <c r="H28" s="14">
        <v>1</v>
      </c>
      <c r="I28" s="14">
        <v>11.49768915162576</v>
      </c>
      <c r="J28" s="14">
        <f t="shared" si="1"/>
        <v>0.26606141749730089</v>
      </c>
      <c r="K28" s="14">
        <f>K29*(1+E29*F29)</f>
        <v>0.71652666220632455</v>
      </c>
      <c r="L28" s="14"/>
      <c r="M28" s="14">
        <f t="shared" ref="M28" si="12">K28</f>
        <v>0.71652666220632455</v>
      </c>
    </row>
    <row r="29" spans="1:13">
      <c r="A29">
        <v>13.5</v>
      </c>
      <c r="B29" s="4">
        <v>49688</v>
      </c>
      <c r="C29" s="14">
        <v>0.7498602714689413</v>
      </c>
      <c r="D29" s="14">
        <v>0.72826345785213376</v>
      </c>
      <c r="E29" s="14">
        <v>2.7462505736529301E-2</v>
      </c>
      <c r="F29" s="14">
        <v>0.51666666666666672</v>
      </c>
      <c r="G29" s="14">
        <v>0</v>
      </c>
      <c r="H29" s="14"/>
      <c r="I29" s="14"/>
      <c r="J29" s="14">
        <f t="shared" si="1"/>
        <v>0.27670115586748667</v>
      </c>
      <c r="K29" s="14">
        <f>(K30*(G30/100*I30-J29+C30)/C30)</f>
        <v>0.70650213081578528</v>
      </c>
      <c r="L29" s="14"/>
      <c r="M29" s="14"/>
    </row>
    <row r="30" spans="1:13">
      <c r="A30">
        <v>14</v>
      </c>
      <c r="B30" s="4">
        <v>49870</v>
      </c>
      <c r="C30" s="14">
        <v>0.74018567472833596</v>
      </c>
      <c r="D30" s="14">
        <v>0.71863740591193315</v>
      </c>
      <c r="E30" s="14">
        <v>2.6495339851027901E-2</v>
      </c>
      <c r="F30" s="14">
        <v>0.50555555555555554</v>
      </c>
      <c r="G30" s="14">
        <v>2.4006811719815446</v>
      </c>
      <c r="H30" s="14">
        <v>1.005555555555556</v>
      </c>
      <c r="I30" s="14">
        <v>12.241986968991471</v>
      </c>
      <c r="J30" s="14">
        <f t="shared" si="1"/>
        <v>0.28661584398657475</v>
      </c>
      <c r="K30" s="14">
        <f>K31*(1+E31*F31)</f>
        <v>0.6904668697762264</v>
      </c>
      <c r="L30" s="14"/>
      <c r="M30" s="14">
        <f t="shared" ref="M30" si="13">K30</f>
        <v>0.6904668697762264</v>
      </c>
    </row>
    <row r="31" spans="1:13">
      <c r="A31">
        <v>14.5</v>
      </c>
      <c r="B31" s="4">
        <v>50052</v>
      </c>
      <c r="C31" s="14">
        <v>0.73104788279616695</v>
      </c>
      <c r="D31" s="14">
        <v>0.7095309602972194</v>
      </c>
      <c r="E31" s="14">
        <v>2.5383289016291E-2</v>
      </c>
      <c r="F31" s="14">
        <v>0.50555555555555554</v>
      </c>
      <c r="G31" s="14">
        <v>0</v>
      </c>
      <c r="H31" s="14"/>
      <c r="I31" s="14"/>
      <c r="J31" s="14">
        <f t="shared" si="1"/>
        <v>0.29599713494286589</v>
      </c>
      <c r="K31" s="14">
        <f>(K32*(G32/100*I32-J31+C32)/C32)</f>
        <v>0.68171860480954105</v>
      </c>
      <c r="L31" s="14"/>
      <c r="M31" s="14"/>
    </row>
    <row r="32" spans="1:13">
      <c r="A32">
        <v>15</v>
      </c>
      <c r="B32" s="4">
        <v>50234</v>
      </c>
      <c r="C32" s="14">
        <v>0.72227737271592507</v>
      </c>
      <c r="D32" s="14">
        <v>0.700838160456415</v>
      </c>
      <c r="E32" s="14">
        <v>2.4534264978464001E-2</v>
      </c>
      <c r="F32" s="14">
        <v>0.50555555555555554</v>
      </c>
      <c r="G32" s="14">
        <v>2.4173120173992881</v>
      </c>
      <c r="H32" s="14">
        <v>0.99722222222222223</v>
      </c>
      <c r="I32" s="14">
        <v>12.962258015672081</v>
      </c>
      <c r="J32" s="14">
        <f t="shared" si="1"/>
        <v>0.30495585463711411</v>
      </c>
      <c r="K32" s="14">
        <f>K33*(1+E33*F33)</f>
        <v>0.66573503831134773</v>
      </c>
      <c r="L32" s="14"/>
      <c r="M32" s="14">
        <f t="shared" ref="M32" si="14">K32</f>
        <v>0.66573503831134773</v>
      </c>
    </row>
    <row r="33" spans="1:13">
      <c r="A33">
        <v>15.5</v>
      </c>
      <c r="B33" s="4">
        <v>50417</v>
      </c>
      <c r="C33" s="14">
        <v>0.71366212197997081</v>
      </c>
      <c r="D33" s="14">
        <v>0.69241736243795082</v>
      </c>
      <c r="E33" s="14">
        <v>2.3922987110430501E-2</v>
      </c>
      <c r="F33" s="14">
        <v>0.5083333333333333</v>
      </c>
      <c r="G33" s="14">
        <v>0</v>
      </c>
      <c r="H33" s="14"/>
      <c r="I33" s="14"/>
      <c r="J33" s="14">
        <f t="shared" si="1"/>
        <v>0.31363459392432319</v>
      </c>
      <c r="K33" s="14">
        <f>(K34*(G34/100*I34-J33+C34)/C34)</f>
        <v>0.65773640339856065</v>
      </c>
      <c r="L33" s="14"/>
      <c r="M33" s="14"/>
    </row>
    <row r="34" spans="1:13">
      <c r="A34">
        <v>16</v>
      </c>
      <c r="B34" s="4">
        <v>50598</v>
      </c>
      <c r="C34" s="14">
        <v>0.70541109112485312</v>
      </c>
      <c r="D34" s="14">
        <v>0.68446812486706743</v>
      </c>
      <c r="E34" s="14">
        <v>2.3099159315272899E-2</v>
      </c>
      <c r="F34" s="14">
        <v>0.50277777777777777</v>
      </c>
      <c r="G34" s="14">
        <v>2.4245674376304982</v>
      </c>
      <c r="H34" s="14">
        <v>0.99722222222222223</v>
      </c>
      <c r="I34" s="14">
        <v>13.6657096315438</v>
      </c>
      <c r="J34" s="14">
        <f t="shared" si="1"/>
        <v>0.32182705774369619</v>
      </c>
      <c r="K34" s="14">
        <f>K35*(1+E35*F35)</f>
        <v>0.64163683680659178</v>
      </c>
      <c r="L34" s="14"/>
      <c r="M34" s="14">
        <f t="shared" ref="M34" si="15">K34</f>
        <v>0.64163683680659178</v>
      </c>
    </row>
    <row r="35" spans="1:13">
      <c r="A35">
        <v>16.5</v>
      </c>
      <c r="B35" s="4">
        <v>50782</v>
      </c>
      <c r="C35" s="14">
        <v>0.69740868440821069</v>
      </c>
      <c r="D35" s="14">
        <v>0.67685350673892697</v>
      </c>
      <c r="E35" s="14">
        <v>2.2010916327615201E-2</v>
      </c>
      <c r="F35" s="14">
        <v>0.51111111111111107</v>
      </c>
      <c r="G35" s="14">
        <v>0</v>
      </c>
      <c r="H35" s="14"/>
      <c r="I35" s="14"/>
      <c r="J35" s="14">
        <f t="shared" si="1"/>
        <v>0.32967292211190086</v>
      </c>
      <c r="K35" s="14">
        <f>(K36*(G36/100*I36-J35+C36)/C36)</f>
        <v>0.63449871114123801</v>
      </c>
      <c r="L35" s="14"/>
      <c r="M35" s="14"/>
    </row>
    <row r="36" spans="1:13">
      <c r="A36">
        <v>17</v>
      </c>
      <c r="B36" s="4">
        <v>50963</v>
      </c>
      <c r="C36" s="14">
        <v>0.68996315335641056</v>
      </c>
      <c r="D36" s="14">
        <v>0.66981104102760358</v>
      </c>
      <c r="E36" s="14">
        <v>2.0912038267508801E-2</v>
      </c>
      <c r="F36" s="14">
        <v>0.50277777777777777</v>
      </c>
      <c r="G36" s="14">
        <v>2.4212544299434144</v>
      </c>
      <c r="H36" s="14">
        <v>1</v>
      </c>
      <c r="I36" s="14">
        <v>14.355672784900211</v>
      </c>
      <c r="J36" s="14">
        <f t="shared" ref="J36:J67" si="16">J35+(E36*F36*C36)</f>
        <v>0.33692726931127592</v>
      </c>
      <c r="K36" s="14">
        <f>K37*(1+E37*F37)</f>
        <v>0.6184412883566528</v>
      </c>
      <c r="L36" s="14"/>
      <c r="M36" s="14">
        <f t="shared" ref="M36" si="17">K36</f>
        <v>0.6184412883566528</v>
      </c>
    </row>
    <row r="37" spans="1:13">
      <c r="A37">
        <v>17.5</v>
      </c>
      <c r="B37" s="4">
        <v>51147</v>
      </c>
      <c r="C37" s="14">
        <v>0.68282994441576605</v>
      </c>
      <c r="D37" s="14">
        <v>0.66306691465186141</v>
      </c>
      <c r="E37" s="14">
        <v>1.9899997381878601E-2</v>
      </c>
      <c r="F37" s="14">
        <v>0.51111111111111107</v>
      </c>
      <c r="G37" s="14">
        <v>0</v>
      </c>
      <c r="H37" s="14"/>
      <c r="I37" s="14"/>
      <c r="J37" s="14">
        <f t="shared" si="16"/>
        <v>0.34387240763219296</v>
      </c>
      <c r="K37" s="14">
        <f>(K38*(G38/100*I38-J37+C38)/C38)</f>
        <v>0.61221438860555988</v>
      </c>
      <c r="L37" s="14"/>
      <c r="M37" s="14"/>
    </row>
    <row r="38" spans="1:13">
      <c r="A38">
        <v>18</v>
      </c>
      <c r="B38" s="4">
        <v>51329</v>
      </c>
      <c r="C38" s="14">
        <v>0.67609185802575111</v>
      </c>
      <c r="D38" s="14">
        <v>0.65673579124496839</v>
      </c>
      <c r="E38" s="14">
        <v>1.90687052713602E-2</v>
      </c>
      <c r="F38" s="14">
        <v>0.50555555555555554</v>
      </c>
      <c r="G38" s="14">
        <v>2.4092990241640697</v>
      </c>
      <c r="H38" s="14">
        <v>1</v>
      </c>
      <c r="I38" s="14">
        <v>15.031764642925969</v>
      </c>
      <c r="J38" s="14">
        <f t="shared" si="16"/>
        <v>0.35039012913392853</v>
      </c>
      <c r="K38" s="14">
        <f>K39*(1+E39*F39)</f>
        <v>0.59609060806001057</v>
      </c>
      <c r="L38" s="14"/>
      <c r="M38" s="14">
        <f t="shared" ref="M38" si="18">K38</f>
        <v>0.59609060806001057</v>
      </c>
    </row>
    <row r="39" spans="1:13">
      <c r="A39">
        <v>18.5</v>
      </c>
      <c r="B39" s="4">
        <v>51515</v>
      </c>
      <c r="C39" s="14">
        <v>0.66942332733091914</v>
      </c>
      <c r="D39" s="14">
        <v>0.65055591075883357</v>
      </c>
      <c r="E39" s="14">
        <v>1.8385904743329899E-2</v>
      </c>
      <c r="F39" s="14">
        <v>0.51666666666666672</v>
      </c>
      <c r="G39" s="14">
        <v>0</v>
      </c>
      <c r="H39" s="14"/>
      <c r="I39" s="14"/>
      <c r="J39" s="14">
        <f t="shared" si="16"/>
        <v>0.35674923845738432</v>
      </c>
      <c r="K39" s="14">
        <f>(K40*(G40/100*I40-J39+C40)/C40)</f>
        <v>0.59048139844203773</v>
      </c>
      <c r="L39" s="14"/>
      <c r="M39" s="14"/>
    </row>
    <row r="40" spans="1:13">
      <c r="A40">
        <v>19</v>
      </c>
      <c r="B40" s="4">
        <v>51694</v>
      </c>
      <c r="C40" s="14">
        <v>0.66324213984716596</v>
      </c>
      <c r="D40" s="14">
        <v>0.6449111569909729</v>
      </c>
      <c r="E40" s="14">
        <v>1.75973078822565E-2</v>
      </c>
      <c r="F40" s="14">
        <v>0.49722222222222218</v>
      </c>
      <c r="G40" s="14">
        <v>2.391875666675837</v>
      </c>
      <c r="H40" s="14">
        <v>1</v>
      </c>
      <c r="I40" s="14">
        <v>15.695006782773129</v>
      </c>
      <c r="J40" s="14">
        <f t="shared" si="16"/>
        <v>0.36255245631358574</v>
      </c>
      <c r="K40" s="14">
        <f>K41*(1+E41*F41)</f>
        <v>0.57432662251592481</v>
      </c>
      <c r="L40" s="14"/>
      <c r="M40" s="14">
        <f t="shared" ref="M40" si="19">K40</f>
        <v>0.57432662251592481</v>
      </c>
    </row>
    <row r="41" spans="1:13">
      <c r="A41">
        <v>19.5</v>
      </c>
      <c r="B41" s="4">
        <v>51879</v>
      </c>
      <c r="C41" s="14">
        <v>0.65713526584249904</v>
      </c>
      <c r="D41" s="14">
        <v>0.63940852927721736</v>
      </c>
      <c r="E41" s="14">
        <v>1.6746439250249601E-2</v>
      </c>
      <c r="F41" s="14">
        <v>0.51388888888888884</v>
      </c>
      <c r="G41" s="14">
        <v>0</v>
      </c>
      <c r="H41" s="14"/>
      <c r="I41" s="14"/>
      <c r="J41" s="14">
        <f t="shared" si="16"/>
        <v>0.36820763693746406</v>
      </c>
      <c r="K41" s="14">
        <f>(K42*(G42/100*I42-J41+C42)/C42)</f>
        <v>0.56942624894423921</v>
      </c>
      <c r="L41" s="14"/>
      <c r="M41" s="14"/>
    </row>
    <row r="42" spans="1:13">
      <c r="A42">
        <v>20</v>
      </c>
      <c r="B42" s="4">
        <v>52061</v>
      </c>
      <c r="C42" s="14">
        <v>0.65135462223894658</v>
      </c>
      <c r="D42" s="14">
        <v>0.63424325968494244</v>
      </c>
      <c r="E42" s="14">
        <v>1.6108987553141298E-2</v>
      </c>
      <c r="F42" s="14">
        <v>0.50555555555555554</v>
      </c>
      <c r="G42" s="14">
        <v>2.3699793544060572</v>
      </c>
      <c r="H42" s="14">
        <v>1.005555555555556</v>
      </c>
      <c r="I42" s="14">
        <v>16.34998004180229</v>
      </c>
      <c r="J42" s="14">
        <f t="shared" si="16"/>
        <v>0.37351226126364112</v>
      </c>
      <c r="K42" s="15">
        <f t="shared" ref="K42:K60" si="20">K43*(1+E43*F43)</f>
        <v>0.55305297887773519</v>
      </c>
      <c r="L42" s="15">
        <v>0.55305297887773497</v>
      </c>
      <c r="M42" s="14">
        <f>K42</f>
        <v>0.55305297887773519</v>
      </c>
    </row>
    <row r="43" spans="1:13">
      <c r="A43">
        <v>20.5</v>
      </c>
      <c r="B43" s="4">
        <v>52243</v>
      </c>
      <c r="C43" s="14">
        <v>0.64573914209288952</v>
      </c>
      <c r="D43" s="14">
        <v>0.62923895877524105</v>
      </c>
      <c r="E43" s="14">
        <v>1.57299670783482E-2</v>
      </c>
      <c r="F43" s="14">
        <v>0.50555555555555554</v>
      </c>
      <c r="G43" s="14">
        <v>0</v>
      </c>
      <c r="H43" s="14"/>
      <c r="I43" s="14"/>
      <c r="J43" s="14">
        <f t="shared" si="16"/>
        <v>0.37864741929483725</v>
      </c>
      <c r="K43" s="14">
        <f t="shared" si="20"/>
        <v>0.54868959497147329</v>
      </c>
      <c r="L43" s="14"/>
      <c r="M43" s="14"/>
    </row>
    <row r="44" spans="1:13">
      <c r="A44">
        <v>21</v>
      </c>
      <c r="B44" s="4">
        <v>52425</v>
      </c>
      <c r="C44" s="14">
        <v>0.6402741031535254</v>
      </c>
      <c r="D44" s="14">
        <v>0.62437792638072032</v>
      </c>
      <c r="E44" s="14">
        <v>1.53996938488435E-2</v>
      </c>
      <c r="F44" s="14">
        <v>0.50555555555555554</v>
      </c>
      <c r="G44" s="14">
        <v>0</v>
      </c>
      <c r="H44" s="14"/>
      <c r="I44" s="14"/>
      <c r="J44" s="14">
        <f t="shared" si="16"/>
        <v>0.38363220979639029</v>
      </c>
      <c r="K44" s="14">
        <f t="shared" si="20"/>
        <v>0.54445082707813708</v>
      </c>
      <c r="L44" s="14"/>
      <c r="M44" s="14"/>
    </row>
    <row r="45" spans="1:13">
      <c r="A45">
        <v>21.5</v>
      </c>
      <c r="B45" s="4">
        <v>52608</v>
      </c>
      <c r="C45" s="14">
        <v>0.634927113266328</v>
      </c>
      <c r="D45" s="14">
        <v>0.61963339874338974</v>
      </c>
      <c r="E45" s="14">
        <v>1.5062316009954399E-2</v>
      </c>
      <c r="F45" s="14">
        <v>0.5083333333333333</v>
      </c>
      <c r="G45" s="14">
        <v>0</v>
      </c>
      <c r="H45" s="14"/>
      <c r="I45" s="14"/>
      <c r="J45" s="14">
        <f t="shared" si="16"/>
        <v>0.38849364181490392</v>
      </c>
      <c r="K45" s="14">
        <f t="shared" si="20"/>
        <v>0.54031381852621696</v>
      </c>
      <c r="L45" s="14"/>
      <c r="M45" s="14"/>
    </row>
    <row r="46" spans="1:13">
      <c r="A46">
        <v>22</v>
      </c>
      <c r="B46" s="4">
        <v>52790</v>
      </c>
      <c r="C46" s="14">
        <v>0.62975313698155089</v>
      </c>
      <c r="D46" s="14">
        <v>0.61505604443203954</v>
      </c>
      <c r="E46" s="14">
        <v>1.47207844081999E-2</v>
      </c>
      <c r="F46" s="14">
        <v>0.50555555555555554</v>
      </c>
      <c r="G46" s="14">
        <v>0</v>
      </c>
      <c r="H46" s="14"/>
      <c r="I46" s="14"/>
      <c r="J46" s="14">
        <f t="shared" si="16"/>
        <v>0.39318037445129428</v>
      </c>
      <c r="K46" s="14">
        <f t="shared" si="20"/>
        <v>0.53632241362175459</v>
      </c>
      <c r="L46" s="14"/>
      <c r="M46" s="14"/>
    </row>
    <row r="47" spans="1:13">
      <c r="A47">
        <v>22.5</v>
      </c>
      <c r="B47" s="4">
        <v>52974</v>
      </c>
      <c r="C47" s="14">
        <v>0.6246646569460953</v>
      </c>
      <c r="D47" s="14">
        <v>0.61057042362918235</v>
      </c>
      <c r="E47" s="14">
        <v>1.4373795838521899E-2</v>
      </c>
      <c r="F47" s="14">
        <v>0.51111111111111107</v>
      </c>
      <c r="G47" s="14">
        <v>0</v>
      </c>
      <c r="H47" s="14"/>
      <c r="I47" s="14"/>
      <c r="J47" s="14">
        <f t="shared" si="16"/>
        <v>0.39776954004394138</v>
      </c>
      <c r="K47" s="14">
        <f t="shared" si="20"/>
        <v>0.53241099937364034</v>
      </c>
      <c r="L47" s="14"/>
      <c r="M47" s="14"/>
    </row>
    <row r="48" spans="1:13">
      <c r="A48">
        <v>23</v>
      </c>
      <c r="B48" s="4">
        <v>53155</v>
      </c>
      <c r="C48" s="14">
        <v>0.61979555389178442</v>
      </c>
      <c r="D48" s="14">
        <v>0.60629619276544222</v>
      </c>
      <c r="E48" s="14">
        <v>1.40215834415629E-2</v>
      </c>
      <c r="F48" s="14">
        <v>0.50277777777777777</v>
      </c>
      <c r="G48" s="14">
        <v>0</v>
      </c>
      <c r="H48" s="14"/>
      <c r="I48" s="14"/>
      <c r="J48" s="14">
        <f t="shared" si="16"/>
        <v>0.40213893790139749</v>
      </c>
      <c r="K48" s="14">
        <f t="shared" si="20"/>
        <v>0.52868391493317357</v>
      </c>
      <c r="L48" s="14"/>
      <c r="M48" s="14"/>
    </row>
    <row r="49" spans="1:13">
      <c r="A49">
        <v>23.5</v>
      </c>
      <c r="B49" s="4">
        <v>53339</v>
      </c>
      <c r="C49" s="14">
        <v>0.61498122338346772</v>
      </c>
      <c r="D49" s="14">
        <v>0.60209061125679897</v>
      </c>
      <c r="E49" s="14">
        <v>1.36662347718224E-2</v>
      </c>
      <c r="F49" s="14">
        <v>0.51111111111111107</v>
      </c>
      <c r="G49" s="14">
        <v>0</v>
      </c>
      <c r="H49" s="14"/>
      <c r="I49" s="14"/>
      <c r="J49" s="14">
        <f t="shared" si="16"/>
        <v>0.40643455987734156</v>
      </c>
      <c r="K49" s="14">
        <f t="shared" si="20"/>
        <v>0.52501669200964074</v>
      </c>
      <c r="L49" s="14"/>
      <c r="M49" s="14"/>
    </row>
    <row r="50" spans="1:13">
      <c r="A50">
        <v>24</v>
      </c>
      <c r="B50" s="4">
        <v>53520</v>
      </c>
      <c r="C50" s="14">
        <v>0.61037562509683041</v>
      </c>
      <c r="D50" s="14">
        <v>0.59808983719780817</v>
      </c>
      <c r="E50" s="14">
        <v>1.3304591007762099E-2</v>
      </c>
      <c r="F50" s="14">
        <v>0.50277777777777777</v>
      </c>
      <c r="G50" s="14">
        <v>0</v>
      </c>
      <c r="H50" s="14"/>
      <c r="I50" s="14"/>
      <c r="J50" s="14">
        <f t="shared" si="16"/>
        <v>0.41051751667622127</v>
      </c>
      <c r="K50" s="14">
        <f t="shared" si="20"/>
        <v>0.52152805903204824</v>
      </c>
      <c r="L50" s="14"/>
      <c r="M50" s="14"/>
    </row>
    <row r="51" spans="1:13">
      <c r="A51">
        <v>24.5</v>
      </c>
      <c r="B51" s="4">
        <v>53706</v>
      </c>
      <c r="C51" s="14">
        <v>0.60577431036681406</v>
      </c>
      <c r="D51" s="14">
        <v>0.59411834436985755</v>
      </c>
      <c r="E51" s="14">
        <v>1.29380962311729E-2</v>
      </c>
      <c r="F51" s="14">
        <v>0.51666666666666672</v>
      </c>
      <c r="G51" s="14">
        <v>0</v>
      </c>
      <c r="H51" s="14"/>
      <c r="I51" s="14"/>
      <c r="J51" s="14">
        <f t="shared" si="16"/>
        <v>0.41456692594253536</v>
      </c>
      <c r="K51" s="14">
        <f t="shared" si="20"/>
        <v>0.51806495898051586</v>
      </c>
      <c r="L51" s="14"/>
      <c r="M51" s="14"/>
    </row>
    <row r="52" spans="1:13">
      <c r="A52">
        <v>25</v>
      </c>
      <c r="B52" s="4">
        <v>53885</v>
      </c>
      <c r="C52" s="14">
        <v>0.60146922482722898</v>
      </c>
      <c r="D52" s="14">
        <v>0.59042925412809355</v>
      </c>
      <c r="E52" s="14">
        <v>1.2563696621126301E-2</v>
      </c>
      <c r="F52" s="14">
        <v>0.49722222222222218</v>
      </c>
      <c r="G52" s="14">
        <v>2.1509999999999998</v>
      </c>
      <c r="H52" s="14">
        <v>1.002777777777778</v>
      </c>
      <c r="I52" s="14">
        <v>20.04276006411229</v>
      </c>
      <c r="J52" s="14">
        <f t="shared" si="16"/>
        <v>0.41832427360729513</v>
      </c>
      <c r="K52" s="14">
        <f t="shared" si="20"/>
        <v>0.51484872517272962</v>
      </c>
      <c r="L52" s="14"/>
      <c r="M52" s="14">
        <f>K52</f>
        <v>0.51484872517272962</v>
      </c>
    </row>
    <row r="53" spans="1:13">
      <c r="A53">
        <v>25.5</v>
      </c>
      <c r="B53" s="4">
        <v>54070</v>
      </c>
      <c r="C53" s="14">
        <v>0.59714179724358019</v>
      </c>
      <c r="D53" s="14">
        <v>0.58675019054605404</v>
      </c>
      <c r="E53" s="14">
        <v>1.22015450147267E-2</v>
      </c>
      <c r="F53" s="14">
        <v>0.51388888888888884</v>
      </c>
      <c r="G53" s="14">
        <v>0</v>
      </c>
      <c r="H53" s="14"/>
      <c r="I53" s="14"/>
      <c r="J53" s="14">
        <f t="shared" si="16"/>
        <v>0.42206849504079469</v>
      </c>
      <c r="K53" s="14">
        <f t="shared" si="20"/>
        <v>0.51164061652669102</v>
      </c>
      <c r="L53" s="14"/>
      <c r="M53" s="14"/>
    </row>
    <row r="54" spans="1:13">
      <c r="A54">
        <v>26</v>
      </c>
      <c r="B54" s="4">
        <v>54252</v>
      </c>
      <c r="C54" s="14">
        <v>0.59299302894571138</v>
      </c>
      <c r="D54" s="14">
        <v>0.58325070461122197</v>
      </c>
      <c r="E54" s="14">
        <v>1.1868069830263801E-2</v>
      </c>
      <c r="F54" s="14">
        <v>0.50555555555555554</v>
      </c>
      <c r="G54" s="14">
        <v>0</v>
      </c>
      <c r="H54" s="14"/>
      <c r="I54" s="14"/>
      <c r="J54" s="14">
        <f t="shared" si="16"/>
        <v>0.42562643461607941</v>
      </c>
      <c r="K54" s="14">
        <f t="shared" si="20"/>
        <v>0.5085890978905272</v>
      </c>
      <c r="L54" s="14"/>
      <c r="M54" s="14"/>
    </row>
    <row r="55" spans="1:13">
      <c r="A55">
        <v>26.5</v>
      </c>
      <c r="B55" s="4">
        <v>54435</v>
      </c>
      <c r="C55" s="14">
        <v>0.58891583250939061</v>
      </c>
      <c r="D55" s="14">
        <v>0.57983716615897962</v>
      </c>
      <c r="E55" s="14">
        <v>1.15805884799351E-2</v>
      </c>
      <c r="F55" s="14">
        <v>0.5083333333333333</v>
      </c>
      <c r="G55" s="14">
        <v>0</v>
      </c>
      <c r="H55" s="14"/>
      <c r="I55" s="14"/>
      <c r="J55" s="14">
        <f t="shared" si="16"/>
        <v>0.42909326383476432</v>
      </c>
      <c r="K55" s="14">
        <f t="shared" si="20"/>
        <v>0.50561265772982433</v>
      </c>
      <c r="L55" s="14"/>
      <c r="M55" s="14"/>
    </row>
    <row r="56" spans="1:13">
      <c r="A56">
        <v>27</v>
      </c>
      <c r="B56" s="4">
        <v>54616</v>
      </c>
      <c r="C56" s="14">
        <v>0.58496282841536662</v>
      </c>
      <c r="D56" s="14">
        <v>0.57655059372333639</v>
      </c>
      <c r="E56" s="14">
        <v>1.13378239913883E-2</v>
      </c>
      <c r="F56" s="14">
        <v>0.50277777777777777</v>
      </c>
      <c r="G56" s="14">
        <v>0</v>
      </c>
      <c r="H56" s="14"/>
      <c r="I56" s="14"/>
      <c r="J56" s="14">
        <f t="shared" si="16"/>
        <v>0.43242778942310917</v>
      </c>
      <c r="K56" s="14">
        <f t="shared" si="20"/>
        <v>0.50274679689683388</v>
      </c>
      <c r="L56" s="14"/>
      <c r="M56" s="14"/>
    </row>
    <row r="57" spans="1:13">
      <c r="A57">
        <v>27.5</v>
      </c>
      <c r="B57" s="4">
        <v>54800</v>
      </c>
      <c r="C57" s="14">
        <v>0.58101208887308553</v>
      </c>
      <c r="D57" s="14">
        <v>0.57328687722651306</v>
      </c>
      <c r="E57" s="14">
        <v>1.1138458824115899E-2</v>
      </c>
      <c r="F57" s="14">
        <v>0.51111111111111107</v>
      </c>
      <c r="G57" s="14">
        <v>0</v>
      </c>
      <c r="H57" s="14"/>
      <c r="I57" s="14"/>
      <c r="J57" s="14">
        <f t="shared" si="16"/>
        <v>0.43573548547309154</v>
      </c>
      <c r="K57" s="14">
        <f t="shared" si="20"/>
        <v>0.49990086623156316</v>
      </c>
      <c r="L57" s="14"/>
      <c r="M57" s="14"/>
    </row>
    <row r="58" spans="1:13">
      <c r="A58">
        <v>28</v>
      </c>
      <c r="B58" s="4">
        <v>54981</v>
      </c>
      <c r="C58" s="14">
        <v>0.57717966116032426</v>
      </c>
      <c r="D58" s="14">
        <v>0.57013896952900966</v>
      </c>
      <c r="E58" s="14">
        <v>1.09815890846915E-2</v>
      </c>
      <c r="F58" s="14">
        <v>0.50277777777777777</v>
      </c>
      <c r="G58" s="14">
        <v>0</v>
      </c>
      <c r="H58" s="14"/>
      <c r="I58" s="14"/>
      <c r="J58" s="14">
        <f t="shared" si="16"/>
        <v>0.4389222669339517</v>
      </c>
      <c r="K58" s="14">
        <f t="shared" si="20"/>
        <v>0.49715591977053131</v>
      </c>
      <c r="L58" s="14"/>
      <c r="M58" s="14"/>
    </row>
    <row r="59" spans="1:13">
      <c r="A59">
        <v>28.5</v>
      </c>
      <c r="B59" s="4">
        <v>55165</v>
      </c>
      <c r="C59" s="14">
        <v>0.57332577765484094</v>
      </c>
      <c r="D59" s="14">
        <v>0.56698905422546453</v>
      </c>
      <c r="E59" s="14">
        <v>1.0869482791382201E-2</v>
      </c>
      <c r="F59" s="14">
        <v>0.51111111111111107</v>
      </c>
      <c r="G59" s="14">
        <v>0</v>
      </c>
      <c r="H59" s="14"/>
      <c r="I59" s="14"/>
      <c r="J59" s="14">
        <f t="shared" si="16"/>
        <v>0.4421073859895901</v>
      </c>
      <c r="K59" s="14">
        <f t="shared" si="20"/>
        <v>0.49440922269555865</v>
      </c>
      <c r="L59" s="14"/>
      <c r="M59" s="14"/>
    </row>
    <row r="60" spans="1:13">
      <c r="A60">
        <v>29</v>
      </c>
      <c r="B60" s="4">
        <v>55346</v>
      </c>
      <c r="C60" s="14">
        <v>0.56956397983013385</v>
      </c>
      <c r="D60" s="14">
        <v>0.56392695819486949</v>
      </c>
      <c r="E60" s="14">
        <v>1.07999035290495E-2</v>
      </c>
      <c r="F60" s="14">
        <v>0.50277777777777777</v>
      </c>
      <c r="G60" s="14">
        <v>0</v>
      </c>
      <c r="H60" s="14"/>
      <c r="I60" s="14"/>
      <c r="J60" s="14">
        <f t="shared" si="16"/>
        <v>0.44520009077424966</v>
      </c>
      <c r="K60" s="14">
        <f t="shared" si="20"/>
        <v>0.49173910321613806</v>
      </c>
      <c r="L60" s="14"/>
      <c r="M60" s="14"/>
    </row>
    <row r="61" spans="1:13">
      <c r="A61">
        <v>29.5</v>
      </c>
      <c r="B61" s="4">
        <v>55530</v>
      </c>
      <c r="C61" s="14">
        <v>0.56575749067846093</v>
      </c>
      <c r="D61" s="14">
        <v>0.56083828488264831</v>
      </c>
      <c r="E61" s="14">
        <v>1.0775042723228601E-2</v>
      </c>
      <c r="F61" s="14">
        <v>0.51111111111111107</v>
      </c>
      <c r="G61" s="14">
        <v>0</v>
      </c>
      <c r="H61" s="14"/>
      <c r="I61" s="14"/>
      <c r="J61" s="14">
        <f t="shared" si="16"/>
        <v>0.4483158553533626</v>
      </c>
      <c r="K61" s="14">
        <f>(K62*(G62/100*I62-J61+C62)/C62)</f>
        <v>0.48904580859241403</v>
      </c>
      <c r="L61" s="14"/>
      <c r="M61" s="14"/>
    </row>
    <row r="62" spans="1:13">
      <c r="A62">
        <v>30</v>
      </c>
      <c r="B62" s="4">
        <v>55712</v>
      </c>
      <c r="C62" s="14">
        <v>0.56199826955425991</v>
      </c>
      <c r="D62" s="14">
        <v>0.55779469673686044</v>
      </c>
      <c r="E62" s="14">
        <v>1.0793010904611801E-2</v>
      </c>
      <c r="F62" s="14">
        <v>0.50555555555555554</v>
      </c>
      <c r="G62" s="14">
        <v>2.2439502179078956</v>
      </c>
      <c r="H62" s="14">
        <v>1</v>
      </c>
      <c r="I62" s="14">
        <v>22.334839906326771</v>
      </c>
      <c r="J62" s="14">
        <f t="shared" si="16"/>
        <v>0.45138238015393017</v>
      </c>
      <c r="K62" s="14">
        <f t="shared" ref="K62:K70" si="21">K63*(1+E63*F63)</f>
        <v>0.44699706788337895</v>
      </c>
      <c r="L62" s="14"/>
      <c r="M62" s="14">
        <f>K62</f>
        <v>0.44699706788337895</v>
      </c>
    </row>
    <row r="63" spans="1:13">
      <c r="A63">
        <v>30.5</v>
      </c>
      <c r="B63" s="4">
        <v>55897</v>
      </c>
      <c r="C63" s="14">
        <v>0.55817405862420799</v>
      </c>
      <c r="D63" s="14">
        <v>0.55470287369725568</v>
      </c>
      <c r="E63" s="14">
        <v>1.0846384244233899E-2</v>
      </c>
      <c r="F63" s="14">
        <v>0.51388888888888884</v>
      </c>
      <c r="G63" s="14">
        <v>0</v>
      </c>
      <c r="H63" s="14"/>
      <c r="I63" s="14"/>
      <c r="J63" s="14">
        <f t="shared" si="16"/>
        <v>0.45449355101025046</v>
      </c>
      <c r="K63" s="14">
        <f t="shared" si="21"/>
        <v>0.44451938955261922</v>
      </c>
      <c r="L63" s="14"/>
      <c r="M63" s="14"/>
    </row>
    <row r="64" spans="1:13">
      <c r="A64">
        <v>31</v>
      </c>
      <c r="B64" s="4">
        <v>56079</v>
      </c>
      <c r="C64" s="14">
        <v>0.55441017461360897</v>
      </c>
      <c r="D64" s="14">
        <v>0.55166414272305053</v>
      </c>
      <c r="E64" s="14">
        <v>1.08955362271776E-2</v>
      </c>
      <c r="F64" s="14">
        <v>0.50555555555555554</v>
      </c>
      <c r="G64" s="14">
        <v>0</v>
      </c>
      <c r="H64" s="14"/>
      <c r="I64" s="14"/>
      <c r="J64" s="14">
        <f t="shared" si="16"/>
        <v>0.45754740794881643</v>
      </c>
      <c r="K64" s="14">
        <f t="shared" si="21"/>
        <v>0.44208425733730367</v>
      </c>
      <c r="L64" s="14"/>
      <c r="M64" s="14"/>
    </row>
    <row r="65" spans="1:13">
      <c r="A65">
        <v>31.5</v>
      </c>
      <c r="B65" s="4">
        <v>56261</v>
      </c>
      <c r="C65" s="14">
        <v>0.55064827385461712</v>
      </c>
      <c r="D65" s="14">
        <v>0.5486319065880878</v>
      </c>
      <c r="E65" s="14">
        <v>1.0932826565357399E-2</v>
      </c>
      <c r="F65" s="14">
        <v>0.50555555555555554</v>
      </c>
      <c r="G65" s="14">
        <v>0</v>
      </c>
      <c r="H65" s="14"/>
      <c r="I65" s="14"/>
      <c r="J65" s="14">
        <f t="shared" si="16"/>
        <v>0.46059092422085812</v>
      </c>
      <c r="K65" s="14">
        <f t="shared" si="21"/>
        <v>0.43965422197320386</v>
      </c>
      <c r="L65" s="14"/>
      <c r="M65" s="14"/>
    </row>
    <row r="66" spans="1:13">
      <c r="A66">
        <v>32</v>
      </c>
      <c r="B66" s="4">
        <v>56443</v>
      </c>
      <c r="C66" s="14">
        <v>0.546891901283866</v>
      </c>
      <c r="D66" s="14">
        <v>0.54560963384076011</v>
      </c>
      <c r="E66" s="14">
        <v>1.0956774856977301E-2</v>
      </c>
      <c r="F66" s="14">
        <v>0.50555555555555554</v>
      </c>
      <c r="G66" s="14">
        <v>0</v>
      </c>
      <c r="H66" s="14"/>
      <c r="I66" s="14"/>
      <c r="J66" s="14">
        <f t="shared" si="16"/>
        <v>0.46362029977889097</v>
      </c>
      <c r="K66" s="14">
        <f t="shared" si="21"/>
        <v>0.43723227939684034</v>
      </c>
      <c r="L66" s="14"/>
      <c r="M66" s="14"/>
    </row>
    <row r="67" spans="1:13">
      <c r="A67">
        <v>32.5</v>
      </c>
      <c r="B67" s="4">
        <v>56626</v>
      </c>
      <c r="C67" s="14">
        <v>0.5431239515609213</v>
      </c>
      <c r="D67" s="14">
        <v>0.54258422783504157</v>
      </c>
      <c r="E67" s="14">
        <v>1.09691991996723E-2</v>
      </c>
      <c r="F67" s="14">
        <v>0.5083333333333333</v>
      </c>
      <c r="G67" s="14">
        <v>0</v>
      </c>
      <c r="H67" s="14"/>
      <c r="I67" s="14"/>
      <c r="J67" s="14">
        <f t="shared" si="16"/>
        <v>0.46664876414307332</v>
      </c>
      <c r="K67" s="14">
        <f t="shared" si="21"/>
        <v>0.43480778700531508</v>
      </c>
      <c r="L67" s="14"/>
      <c r="M67" s="14"/>
    </row>
    <row r="68" spans="1:13">
      <c r="A68">
        <v>33</v>
      </c>
      <c r="B68" s="4">
        <v>56807</v>
      </c>
      <c r="C68" s="14">
        <v>0.53940946446737725</v>
      </c>
      <c r="D68" s="14">
        <v>0.53960847472234175</v>
      </c>
      <c r="E68" s="14">
        <v>1.0968369202468299E-2</v>
      </c>
      <c r="F68" s="14">
        <v>0.50277777777777777</v>
      </c>
      <c r="G68" s="14">
        <v>0</v>
      </c>
      <c r="H68" s="14"/>
      <c r="I68" s="14"/>
      <c r="J68" s="14">
        <f t="shared" ref="J68:J99" si="22">J67+(E68*F68*C68)</f>
        <v>0.4696234197834141</v>
      </c>
      <c r="K68" s="14">
        <f t="shared" si="21"/>
        <v>0.43242312383371889</v>
      </c>
      <c r="L68" s="14"/>
      <c r="M68" s="14"/>
    </row>
    <row r="69" spans="1:13">
      <c r="A69">
        <v>33.5</v>
      </c>
      <c r="B69" s="4">
        <v>56991</v>
      </c>
      <c r="C69" s="14">
        <v>0.53564926141067259</v>
      </c>
      <c r="D69" s="14">
        <v>0.53660360945520758</v>
      </c>
      <c r="E69" s="14">
        <v>1.0956102632769599E-2</v>
      </c>
      <c r="F69" s="14">
        <v>0.51111111111111107</v>
      </c>
      <c r="G69" s="14">
        <v>0</v>
      </c>
      <c r="H69" s="14"/>
      <c r="I69" s="14"/>
      <c r="J69" s="14">
        <f t="shared" si="22"/>
        <v>0.47262294090592966</v>
      </c>
      <c r="K69" s="14">
        <f t="shared" si="21"/>
        <v>0.43001513121243512</v>
      </c>
      <c r="L69" s="14"/>
      <c r="M69" s="14"/>
    </row>
    <row r="70" spans="1:13">
      <c r="A70">
        <v>34</v>
      </c>
      <c r="B70" s="4">
        <v>57173</v>
      </c>
      <c r="C70" s="14">
        <v>0.53194885680512016</v>
      </c>
      <c r="D70" s="14">
        <v>0.53365464410213215</v>
      </c>
      <c r="E70" s="14">
        <v>1.0930511605727E-2</v>
      </c>
      <c r="F70" s="14">
        <v>0.50555555555555554</v>
      </c>
      <c r="G70" s="14">
        <v>0</v>
      </c>
      <c r="H70" s="14"/>
      <c r="I70" s="14"/>
      <c r="J70" s="14">
        <f t="shared" si="22"/>
        <v>0.47556248011103802</v>
      </c>
      <c r="K70" s="14">
        <f t="shared" si="21"/>
        <v>0.42765193480283381</v>
      </c>
      <c r="L70" s="14"/>
      <c r="M70" s="14"/>
    </row>
    <row r="71" spans="1:13">
      <c r="A71">
        <v>34.5</v>
      </c>
      <c r="B71" s="4">
        <v>57357</v>
      </c>
      <c r="C71" s="14">
        <v>0.52823009110863162</v>
      </c>
      <c r="D71" s="14">
        <v>0.53069993891946243</v>
      </c>
      <c r="E71" s="14">
        <v>1.0893057448593301E-2</v>
      </c>
      <c r="F71" s="14">
        <v>0.51111111111111107</v>
      </c>
      <c r="G71" s="14">
        <v>0</v>
      </c>
      <c r="H71" s="14"/>
      <c r="I71" s="14"/>
      <c r="J71" s="14">
        <f t="shared" si="22"/>
        <v>0.47850343426117148</v>
      </c>
      <c r="K71" s="14">
        <f>(K72*(G72/100*I72-J71+C72)/C72)</f>
        <v>0.4252841386970459</v>
      </c>
      <c r="L71" s="14"/>
      <c r="M71" s="14"/>
    </row>
    <row r="72" spans="1:13">
      <c r="A72">
        <v>35</v>
      </c>
      <c r="B72" s="4">
        <v>57538</v>
      </c>
      <c r="C72" s="14">
        <v>0.52459684006245333</v>
      </c>
      <c r="D72" s="14">
        <v>0.52782259332972981</v>
      </c>
      <c r="E72" s="14">
        <v>1.08424636949378E-2</v>
      </c>
      <c r="F72" s="14">
        <v>0.50277777777777777</v>
      </c>
      <c r="G72" s="14">
        <v>2.1635673331582574</v>
      </c>
      <c r="H72" s="14">
        <v>1</v>
      </c>
      <c r="I72" s="14">
        <v>25.032159696291082</v>
      </c>
      <c r="J72" s="14">
        <f t="shared" si="22"/>
        <v>0.48136319514146864</v>
      </c>
      <c r="K72" s="14">
        <f t="shared" ref="K72:K80" si="23">K73*(1+E73*F73)</f>
        <v>0.37963232043930895</v>
      </c>
      <c r="L72" s="14"/>
      <c r="M72" s="14">
        <f>K72</f>
        <v>0.37963232043930895</v>
      </c>
    </row>
    <row r="73" spans="1:13">
      <c r="A73">
        <v>35.5</v>
      </c>
      <c r="B73" s="4">
        <v>57724</v>
      </c>
      <c r="C73" s="14">
        <v>0.52089196930492376</v>
      </c>
      <c r="D73" s="14">
        <v>0.5248990250607739</v>
      </c>
      <c r="E73" s="14">
        <v>1.07802052586819E-2</v>
      </c>
      <c r="F73" s="14">
        <v>0.51666666666666672</v>
      </c>
      <c r="G73" s="14">
        <v>0</v>
      </c>
      <c r="H73" s="14"/>
      <c r="I73" s="14"/>
      <c r="J73" s="14">
        <f t="shared" si="22"/>
        <v>0.48426444502060012</v>
      </c>
      <c r="K73" s="14">
        <f t="shared" si="23"/>
        <v>0.37752956655962971</v>
      </c>
      <c r="L73" s="14"/>
      <c r="M73" s="14"/>
    </row>
    <row r="74" spans="1:13">
      <c r="A74">
        <v>36</v>
      </c>
      <c r="B74" s="4">
        <v>57903</v>
      </c>
      <c r="C74" s="14">
        <v>0.51735683932539711</v>
      </c>
      <c r="D74" s="14">
        <v>0.5221203071921855</v>
      </c>
      <c r="E74" s="14">
        <v>1.07032216274824E-2</v>
      </c>
      <c r="F74" s="14">
        <v>0.49722222222222218</v>
      </c>
      <c r="G74" s="14">
        <v>0</v>
      </c>
      <c r="H74" s="14"/>
      <c r="I74" s="14"/>
      <c r="J74" s="14">
        <f t="shared" si="22"/>
        <v>0.4870177558517419</v>
      </c>
      <c r="K74" s="14">
        <f t="shared" si="23"/>
        <v>0.37553103558619638</v>
      </c>
      <c r="L74" s="14"/>
      <c r="M74" s="14"/>
    </row>
    <row r="75" spans="1:13">
      <c r="A75">
        <v>36.5</v>
      </c>
      <c r="B75" s="4">
        <v>58088</v>
      </c>
      <c r="C75" s="14">
        <v>0.51373727224032295</v>
      </c>
      <c r="D75" s="14">
        <v>0.51928740042500721</v>
      </c>
      <c r="E75" s="14">
        <v>1.06158621108882E-2</v>
      </c>
      <c r="F75" s="14">
        <v>0.51388888888888884</v>
      </c>
      <c r="G75" s="14">
        <v>0</v>
      </c>
      <c r="H75" s="14"/>
      <c r="I75" s="14"/>
      <c r="J75" s="14">
        <f t="shared" si="22"/>
        <v>0.48982038459622945</v>
      </c>
      <c r="K75" s="14">
        <f t="shared" si="23"/>
        <v>0.37349348907183333</v>
      </c>
      <c r="L75" s="14"/>
      <c r="M75" s="14"/>
    </row>
    <row r="76" spans="1:13">
      <c r="A76">
        <v>37</v>
      </c>
      <c r="B76" s="4">
        <v>58270</v>
      </c>
      <c r="C76" s="14">
        <v>0.51021287719542696</v>
      </c>
      <c r="D76" s="14">
        <v>0.51654201597351568</v>
      </c>
      <c r="E76" s="14">
        <v>1.05130475648442E-2</v>
      </c>
      <c r="F76" s="14">
        <v>0.50555555555555554</v>
      </c>
      <c r="G76" s="14">
        <v>0</v>
      </c>
      <c r="H76" s="14"/>
      <c r="I76" s="14"/>
      <c r="J76" s="14">
        <f t="shared" si="22"/>
        <v>0.49253213012067271</v>
      </c>
      <c r="K76" s="14">
        <f t="shared" si="23"/>
        <v>0.37151889231329094</v>
      </c>
      <c r="L76" s="14"/>
      <c r="M76" s="14"/>
    </row>
    <row r="77" spans="1:13">
      <c r="A77">
        <v>37.5</v>
      </c>
      <c r="B77" s="4">
        <v>58452</v>
      </c>
      <c r="C77" s="14">
        <v>0.50672726759364373</v>
      </c>
      <c r="D77" s="14">
        <v>0.51384074987513662</v>
      </c>
      <c r="E77" s="14">
        <v>1.0398104339398801E-2</v>
      </c>
      <c r="F77" s="14">
        <v>0.50555555555555554</v>
      </c>
      <c r="G77" s="14">
        <v>0</v>
      </c>
      <c r="H77" s="14"/>
      <c r="I77" s="14"/>
      <c r="J77" s="14">
        <f t="shared" si="22"/>
        <v>0.4951959038595905</v>
      </c>
      <c r="K77" s="14">
        <f t="shared" si="23"/>
        <v>0.36957609750820941</v>
      </c>
      <c r="L77" s="14"/>
      <c r="M77" s="14"/>
    </row>
    <row r="78" spans="1:13">
      <c r="A78">
        <v>38</v>
      </c>
      <c r="B78" s="4">
        <v>58634</v>
      </c>
      <c r="C78" s="14">
        <v>0.50328295965269065</v>
      </c>
      <c r="D78" s="14">
        <v>0.51118640050096331</v>
      </c>
      <c r="E78" s="14">
        <v>1.0270933253150399E-2</v>
      </c>
      <c r="F78" s="14">
        <v>0.50555555555555554</v>
      </c>
      <c r="G78" s="14">
        <v>0</v>
      </c>
      <c r="H78" s="14"/>
      <c r="I78" s="14"/>
      <c r="J78" s="14">
        <f t="shared" si="22"/>
        <v>0.49780921440086667</v>
      </c>
      <c r="K78" s="14">
        <f t="shared" si="23"/>
        <v>0.36766697666995612</v>
      </c>
      <c r="L78" s="14"/>
      <c r="M78" s="14"/>
    </row>
    <row r="79" spans="1:13">
      <c r="A79">
        <v>38.5</v>
      </c>
      <c r="B79" s="4">
        <v>58818</v>
      </c>
      <c r="C79" s="14">
        <v>0.49984527842257231</v>
      </c>
      <c r="D79" s="14">
        <v>0.50855337125243827</v>
      </c>
      <c r="E79" s="14">
        <v>1.0129868870633E-2</v>
      </c>
      <c r="F79" s="14">
        <v>0.51111111111111107</v>
      </c>
      <c r="G79" s="14">
        <v>0</v>
      </c>
      <c r="H79" s="14"/>
      <c r="I79" s="14"/>
      <c r="J79" s="14">
        <f t="shared" si="22"/>
        <v>0.50039715759861314</v>
      </c>
      <c r="K79" s="14">
        <f t="shared" si="23"/>
        <v>0.36577319017184101</v>
      </c>
      <c r="L79" s="14"/>
      <c r="M79" s="14"/>
    </row>
    <row r="80" spans="1:13">
      <c r="A80">
        <v>39</v>
      </c>
      <c r="B80" s="4">
        <v>58999</v>
      </c>
      <c r="C80" s="14">
        <v>0.49650964556268212</v>
      </c>
      <c r="D80" s="14">
        <v>0.50601548457043399</v>
      </c>
      <c r="E80" s="14">
        <v>9.9754465449435996E-3</v>
      </c>
      <c r="F80" s="14">
        <v>0.50277777777777777</v>
      </c>
      <c r="G80" s="14">
        <v>0</v>
      </c>
      <c r="H80" s="14"/>
      <c r="I80" s="14"/>
      <c r="J80" s="14">
        <f t="shared" si="22"/>
        <v>0.50288736838342718</v>
      </c>
      <c r="K80" s="14">
        <f t="shared" si="23"/>
        <v>0.36394783424963917</v>
      </c>
      <c r="L80" s="14"/>
      <c r="M80" s="14"/>
    </row>
    <row r="81" spans="1:13">
      <c r="A81">
        <v>39.5</v>
      </c>
      <c r="B81" s="4">
        <v>59183</v>
      </c>
      <c r="C81" s="14">
        <v>0.49316783235733408</v>
      </c>
      <c r="D81" s="14">
        <v>0.50349129580180585</v>
      </c>
      <c r="E81" s="14">
        <v>9.8087697655727703E-3</v>
      </c>
      <c r="F81" s="14">
        <v>0.51111111111111107</v>
      </c>
      <c r="G81" s="14">
        <v>0</v>
      </c>
      <c r="H81" s="14"/>
      <c r="I81" s="14"/>
      <c r="J81" s="14">
        <f t="shared" si="22"/>
        <v>0.50535980179759898</v>
      </c>
      <c r="K81" s="14">
        <f>(K82*(G82/100*I82-J81+C82))/C82</f>
        <v>0.36213233044868465</v>
      </c>
      <c r="L81" s="14"/>
      <c r="M81" s="14"/>
    </row>
    <row r="82" spans="1:13">
      <c r="A82">
        <v>40</v>
      </c>
      <c r="B82" s="4">
        <v>59364</v>
      </c>
      <c r="C82" s="14">
        <v>0.48993103816542471</v>
      </c>
      <c r="D82" s="14">
        <v>0.50106569279954849</v>
      </c>
      <c r="E82" s="14">
        <v>9.6282859328103293E-3</v>
      </c>
      <c r="F82" s="14">
        <v>0.50277777777777777</v>
      </c>
      <c r="G82" s="14">
        <v>2.1292650824626325</v>
      </c>
      <c r="H82" s="14">
        <v>1</v>
      </c>
      <c r="I82" s="14">
        <v>27.549491555734601</v>
      </c>
      <c r="J82" s="14">
        <f t="shared" si="22"/>
        <v>0.50773150318157001</v>
      </c>
      <c r="K82" s="15">
        <f t="shared" ref="K82:K100" si="24">K83*(1+E83*F83)</f>
        <v>0.310623728895628</v>
      </c>
      <c r="L82" s="15">
        <v>0.310623728895628</v>
      </c>
      <c r="M82" s="14">
        <f>K82</f>
        <v>0.310623728895628</v>
      </c>
    </row>
    <row r="83" spans="1:13">
      <c r="A83">
        <v>40.5</v>
      </c>
      <c r="B83" s="4">
        <v>59548</v>
      </c>
      <c r="C83" s="14">
        <v>0.48669362634470931</v>
      </c>
      <c r="D83" s="14">
        <v>0.49865975423065317</v>
      </c>
      <c r="E83" s="14">
        <v>9.4398456525104004E-3</v>
      </c>
      <c r="F83" s="14">
        <v>0.51111111111111107</v>
      </c>
      <c r="G83" s="14">
        <v>0</v>
      </c>
      <c r="H83" s="14"/>
      <c r="I83" s="14"/>
      <c r="J83" s="14">
        <f t="shared" si="22"/>
        <v>0.51007970745697795</v>
      </c>
      <c r="K83" s="14">
        <f t="shared" si="24"/>
        <v>0.30913222464677681</v>
      </c>
      <c r="L83" s="14"/>
      <c r="M83" s="14"/>
    </row>
    <row r="84" spans="1:13">
      <c r="A84">
        <v>41</v>
      </c>
      <c r="B84" s="4">
        <v>59729</v>
      </c>
      <c r="C84" s="14">
        <v>0.4835606296701902</v>
      </c>
      <c r="D84" s="14">
        <v>0.49634912885889831</v>
      </c>
      <c r="E84" s="14">
        <v>9.2590451040213406E-3</v>
      </c>
      <c r="F84" s="14">
        <v>0.50277777777777777</v>
      </c>
      <c r="G84" s="14">
        <v>0</v>
      </c>
      <c r="H84" s="14"/>
      <c r="I84" s="14"/>
      <c r="J84" s="14">
        <f t="shared" si="22"/>
        <v>0.51233079926863567</v>
      </c>
      <c r="K84" s="14">
        <f t="shared" si="24"/>
        <v>0.30769980754185544</v>
      </c>
      <c r="L84" s="14"/>
      <c r="M84" s="14"/>
    </row>
    <row r="85" spans="1:13">
      <c r="A85">
        <v>41.5</v>
      </c>
      <c r="B85" s="4">
        <v>59915</v>
      </c>
      <c r="C85" s="14">
        <v>0.48039334667767708</v>
      </c>
      <c r="D85" s="14">
        <v>0.49402867581010651</v>
      </c>
      <c r="E85" s="14">
        <v>9.0909691464970098E-3</v>
      </c>
      <c r="F85" s="14">
        <v>0.51666666666666672</v>
      </c>
      <c r="G85" s="14">
        <v>0</v>
      </c>
      <c r="H85" s="14"/>
      <c r="I85" s="14"/>
      <c r="J85" s="14">
        <f t="shared" si="22"/>
        <v>0.51458720716659745</v>
      </c>
      <c r="K85" s="14">
        <f t="shared" si="24"/>
        <v>0.3062612980028851</v>
      </c>
      <c r="L85" s="14"/>
      <c r="M85" s="14"/>
    </row>
    <row r="86" spans="1:13">
      <c r="A86">
        <v>42</v>
      </c>
      <c r="B86" s="4">
        <v>60097</v>
      </c>
      <c r="C86" s="14">
        <v>0.4773444128346101</v>
      </c>
      <c r="D86" s="14">
        <v>0.49180732439275149</v>
      </c>
      <c r="E86" s="14">
        <v>8.9341530849784603E-3</v>
      </c>
      <c r="F86" s="14">
        <v>0.50555555555555554</v>
      </c>
      <c r="G86" s="14">
        <v>0</v>
      </c>
      <c r="H86" s="14"/>
      <c r="I86" s="14"/>
      <c r="J86" s="14">
        <f t="shared" si="22"/>
        <v>0.51674323379618436</v>
      </c>
      <c r="K86" s="14">
        <f t="shared" si="24"/>
        <v>0.30488422415735555</v>
      </c>
      <c r="L86" s="14"/>
      <c r="M86" s="14"/>
    </row>
    <row r="87" spans="1:13">
      <c r="A87">
        <v>42.5</v>
      </c>
      <c r="B87" s="4">
        <v>60279</v>
      </c>
      <c r="C87" s="14">
        <v>0.47434415945888991</v>
      </c>
      <c r="D87" s="14">
        <v>0.4896309584163458</v>
      </c>
      <c r="E87" s="14">
        <v>8.7916116448463408E-3</v>
      </c>
      <c r="F87" s="14">
        <v>0.50555555555555554</v>
      </c>
      <c r="G87" s="14">
        <v>0</v>
      </c>
      <c r="H87" s="14"/>
      <c r="I87" s="14"/>
      <c r="J87" s="14">
        <f t="shared" si="22"/>
        <v>0.51885152666769929</v>
      </c>
      <c r="K87" s="14">
        <f t="shared" si="24"/>
        <v>0.30353511737181094</v>
      </c>
      <c r="L87" s="14"/>
      <c r="M87" s="14"/>
    </row>
    <row r="88" spans="1:13">
      <c r="A88">
        <v>43</v>
      </c>
      <c r="B88" s="4">
        <v>60461</v>
      </c>
      <c r="C88" s="14">
        <v>0.47139160614948861</v>
      </c>
      <c r="D88" s="14">
        <v>0.48749599328334481</v>
      </c>
      <c r="E88" s="14">
        <v>8.6626516188248893E-3</v>
      </c>
      <c r="F88" s="14">
        <v>0.50555555555555554</v>
      </c>
      <c r="G88" s="14">
        <v>0</v>
      </c>
      <c r="H88" s="14"/>
      <c r="I88" s="14"/>
      <c r="J88" s="14">
        <f t="shared" si="22"/>
        <v>0.52091596341586666</v>
      </c>
      <c r="K88" s="14">
        <f t="shared" si="24"/>
        <v>0.30221159629723227</v>
      </c>
      <c r="L88" s="14"/>
      <c r="M88" s="14"/>
    </row>
    <row r="89" spans="1:13">
      <c r="A89">
        <v>43.5</v>
      </c>
      <c r="B89" s="4">
        <v>60644</v>
      </c>
      <c r="C89" s="14">
        <v>0.46846995448104201</v>
      </c>
      <c r="D89" s="14">
        <v>0.48538748473141352</v>
      </c>
      <c r="E89" s="14">
        <v>8.5453174166054604E-3</v>
      </c>
      <c r="F89" s="14">
        <v>0.5083333333333333</v>
      </c>
      <c r="G89" s="14">
        <v>0</v>
      </c>
      <c r="H89" s="14"/>
      <c r="I89" s="14"/>
      <c r="J89" s="14">
        <f t="shared" si="22"/>
        <v>0.5229509358503015</v>
      </c>
      <c r="K89" s="14">
        <f t="shared" si="24"/>
        <v>0.30090450633355614</v>
      </c>
      <c r="L89" s="14"/>
      <c r="M89" s="14"/>
    </row>
    <row r="90" spans="1:13">
      <c r="A90">
        <v>44</v>
      </c>
      <c r="B90" s="4">
        <v>60825</v>
      </c>
      <c r="C90" s="14">
        <v>0.46562578064583421</v>
      </c>
      <c r="D90" s="14">
        <v>0.48333624725846241</v>
      </c>
      <c r="E90" s="14">
        <v>8.4409339494139791E-3</v>
      </c>
      <c r="F90" s="14">
        <v>0.50277777777777777</v>
      </c>
      <c r="G90" s="14">
        <v>0</v>
      </c>
      <c r="H90" s="14"/>
      <c r="I90" s="14"/>
      <c r="J90" s="14">
        <f t="shared" si="22"/>
        <v>0.52492701162581046</v>
      </c>
      <c r="K90" s="14">
        <f t="shared" si="24"/>
        <v>0.29963289011231636</v>
      </c>
      <c r="L90" s="14"/>
      <c r="M90" s="14"/>
    </row>
    <row r="91" spans="1:13">
      <c r="A91">
        <v>44.5</v>
      </c>
      <c r="B91" s="4">
        <v>61009</v>
      </c>
      <c r="C91" s="14">
        <v>0.46277995896916652</v>
      </c>
      <c r="D91" s="14">
        <v>0.48128244372266532</v>
      </c>
      <c r="E91" s="14">
        <v>8.3491748309134205E-3</v>
      </c>
      <c r="F91" s="14">
        <v>0.51111111111111107</v>
      </c>
      <c r="G91" s="14">
        <v>0</v>
      </c>
      <c r="H91" s="14"/>
      <c r="I91" s="14"/>
      <c r="J91" s="14">
        <f t="shared" si="22"/>
        <v>0.52690185847182291</v>
      </c>
      <c r="K91" s="14">
        <f t="shared" si="24"/>
        <v>0.29835968312102551</v>
      </c>
      <c r="L91" s="14"/>
      <c r="M91" s="14"/>
    </row>
    <row r="92" spans="1:13">
      <c r="A92">
        <v>45</v>
      </c>
      <c r="B92" s="4">
        <v>61190</v>
      </c>
      <c r="C92" s="14">
        <v>0.46002438942535051</v>
      </c>
      <c r="D92" s="14">
        <v>0.47928971420650379</v>
      </c>
      <c r="E92" s="14">
        <v>8.2694032527044995E-3</v>
      </c>
      <c r="F92" s="14">
        <v>0.50277777777777777</v>
      </c>
      <c r="G92" s="14">
        <v>0</v>
      </c>
      <c r="H92" s="14"/>
      <c r="I92" s="14"/>
      <c r="J92" s="14">
        <f t="shared" si="22"/>
        <v>0.5288144890828923</v>
      </c>
      <c r="K92" s="14">
        <f t="shared" si="24"/>
        <v>0.29712433752564277</v>
      </c>
      <c r="L92" s="14"/>
      <c r="M92" s="14"/>
    </row>
    <row r="93" spans="1:13">
      <c r="A93">
        <v>45.5</v>
      </c>
      <c r="B93" s="4">
        <v>61374</v>
      </c>
      <c r="C93" s="14">
        <v>0.45726682763226401</v>
      </c>
      <c r="D93" s="14">
        <v>0.47728865240006779</v>
      </c>
      <c r="E93" s="14">
        <v>8.2028368073458306E-3</v>
      </c>
      <c r="F93" s="14">
        <v>0.51111111111111107</v>
      </c>
      <c r="G93" s="14">
        <v>0</v>
      </c>
      <c r="H93" s="14"/>
      <c r="I93" s="14"/>
      <c r="J93" s="14">
        <f t="shared" si="22"/>
        <v>0.53073160816695997</v>
      </c>
      <c r="K93" s="14">
        <f t="shared" si="24"/>
        <v>0.29588382652371248</v>
      </c>
      <c r="L93" s="14"/>
      <c r="M93" s="14"/>
    </row>
    <row r="94" spans="1:13">
      <c r="A94">
        <v>46</v>
      </c>
      <c r="B94" s="4">
        <v>61556</v>
      </c>
      <c r="C94" s="14">
        <v>0.45458169239949059</v>
      </c>
      <c r="D94" s="14">
        <v>0.47533058089557279</v>
      </c>
      <c r="E94" s="14">
        <v>8.1482417208092097E-3</v>
      </c>
      <c r="F94" s="14">
        <v>0.50555555555555554</v>
      </c>
      <c r="G94" s="14">
        <v>0</v>
      </c>
      <c r="H94" s="14"/>
      <c r="I94" s="14"/>
      <c r="J94" s="14">
        <f t="shared" si="22"/>
        <v>0.53260420693112009</v>
      </c>
      <c r="K94" s="14">
        <f t="shared" si="24"/>
        <v>0.29466996634404197</v>
      </c>
      <c r="L94" s="14"/>
      <c r="M94" s="14"/>
    </row>
    <row r="95" spans="1:13">
      <c r="A95">
        <v>46.5</v>
      </c>
      <c r="B95" s="4">
        <v>61742</v>
      </c>
      <c r="C95" s="14">
        <v>0.45188028198482799</v>
      </c>
      <c r="D95" s="14">
        <v>0.47334797928999178</v>
      </c>
      <c r="E95" s="14">
        <v>8.1067071119907304E-3</v>
      </c>
      <c r="F95" s="14">
        <v>0.51666666666666672</v>
      </c>
      <c r="G95" s="14">
        <v>0</v>
      </c>
      <c r="H95" s="14"/>
      <c r="I95" s="14"/>
      <c r="J95" s="14">
        <f t="shared" si="22"/>
        <v>0.53449689183058302</v>
      </c>
      <c r="K95" s="14">
        <f t="shared" si="24"/>
        <v>0.29344089930760292</v>
      </c>
      <c r="L95" s="14"/>
      <c r="M95" s="14"/>
    </row>
    <row r="96" spans="1:13">
      <c r="A96">
        <v>47</v>
      </c>
      <c r="B96" s="4">
        <v>61921</v>
      </c>
      <c r="C96" s="14">
        <v>0.44932051302385029</v>
      </c>
      <c r="D96" s="14">
        <v>0.47145456425612797</v>
      </c>
      <c r="E96" s="14">
        <v>8.0772026974377208E-3</v>
      </c>
      <c r="F96" s="14">
        <v>0.49722222222222218</v>
      </c>
      <c r="G96" s="14">
        <v>0</v>
      </c>
      <c r="H96" s="14"/>
      <c r="I96" s="14"/>
      <c r="J96" s="14">
        <f t="shared" si="22"/>
        <v>0.53630143700254429</v>
      </c>
      <c r="K96" s="14">
        <f t="shared" si="24"/>
        <v>0.29226710647902621</v>
      </c>
      <c r="L96" s="14"/>
      <c r="M96" s="14"/>
    </row>
    <row r="97" spans="1:16">
      <c r="A97">
        <v>47.5</v>
      </c>
      <c r="B97" s="4">
        <v>62106</v>
      </c>
      <c r="C97" s="14">
        <v>0.44671531179977891</v>
      </c>
      <c r="D97" s="14">
        <v>0.46950955127735849</v>
      </c>
      <c r="E97" s="14">
        <v>8.0613698071773897E-3</v>
      </c>
      <c r="F97" s="14">
        <v>0.51388888888888884</v>
      </c>
      <c r="G97" s="14">
        <v>0</v>
      </c>
      <c r="H97" s="14"/>
      <c r="I97" s="14"/>
      <c r="J97" s="14">
        <f t="shared" si="22"/>
        <v>0.53815202146222518</v>
      </c>
      <c r="K97" s="14">
        <f t="shared" si="24"/>
        <v>0.29106134168541126</v>
      </c>
      <c r="L97" s="14"/>
      <c r="M97" s="14"/>
    </row>
    <row r="98" spans="1:16">
      <c r="A98">
        <v>48</v>
      </c>
      <c r="B98" s="4">
        <v>62288</v>
      </c>
      <c r="C98" s="14">
        <v>0.44419159681857179</v>
      </c>
      <c r="D98" s="14">
        <v>0.46760479806134042</v>
      </c>
      <c r="E98" s="14">
        <v>8.0573247742801099E-3</v>
      </c>
      <c r="F98" s="14">
        <v>0.50555555555555554</v>
      </c>
      <c r="G98" s="14">
        <v>0</v>
      </c>
      <c r="H98" s="14"/>
      <c r="I98" s="14"/>
      <c r="J98" s="14">
        <f t="shared" si="22"/>
        <v>0.5399614027518872</v>
      </c>
      <c r="K98" s="14">
        <f t="shared" si="24"/>
        <v>0.28988053497950822</v>
      </c>
      <c r="L98" s="14"/>
      <c r="M98" s="14"/>
    </row>
    <row r="99" spans="1:16">
      <c r="A99">
        <v>48.5</v>
      </c>
      <c r="B99" s="4">
        <v>62470</v>
      </c>
      <c r="C99" s="14">
        <v>0.44170601590680081</v>
      </c>
      <c r="D99" s="14">
        <v>0.46570569634089187</v>
      </c>
      <c r="E99" s="14">
        <v>8.0664530618313798E-3</v>
      </c>
      <c r="F99" s="14">
        <v>0.50555555555555554</v>
      </c>
      <c r="G99" s="14">
        <v>0</v>
      </c>
      <c r="H99" s="14"/>
      <c r="I99" s="14"/>
      <c r="J99" s="14">
        <f t="shared" si="22"/>
        <v>0.54176269762324336</v>
      </c>
      <c r="K99" s="14">
        <f t="shared" si="24"/>
        <v>0.28870319176943032</v>
      </c>
      <c r="L99" s="14"/>
      <c r="M99" s="14"/>
      <c r="O99" s="4">
        <v>59364</v>
      </c>
      <c r="P99" s="14">
        <f>L82</f>
        <v>0.310623728895628</v>
      </c>
    </row>
    <row r="100" spans="1:16">
      <c r="A100">
        <v>49</v>
      </c>
      <c r="B100" s="4">
        <v>62652</v>
      </c>
      <c r="C100" s="14">
        <v>0.4392578039092318</v>
      </c>
      <c r="D100" s="14">
        <v>0.46380931440043982</v>
      </c>
      <c r="E100" s="14">
        <v>8.0875589180164006E-3</v>
      </c>
      <c r="F100" s="14">
        <v>0.50555555555555554</v>
      </c>
      <c r="G100" s="14">
        <v>0</v>
      </c>
      <c r="H100" s="14"/>
      <c r="I100" s="14"/>
      <c r="J100" s="14">
        <f t="shared" ref="J100:J122" si="25">J99+(E100*F100*C100)</f>
        <v>0.54355869554884118</v>
      </c>
      <c r="K100" s="14">
        <f t="shared" si="24"/>
        <v>0.28752757480076502</v>
      </c>
      <c r="L100" s="14"/>
      <c r="M100" s="14"/>
      <c r="O100" s="4">
        <v>66670</v>
      </c>
      <c r="P100" s="14">
        <f>L122</f>
        <v>0.17061149914132201</v>
      </c>
    </row>
    <row r="101" spans="1:16">
      <c r="A101">
        <v>49.5</v>
      </c>
      <c r="B101" s="4">
        <v>62835</v>
      </c>
      <c r="C101" s="14">
        <v>0.43683305994826649</v>
      </c>
      <c r="D101" s="14">
        <v>0.46190234191945129</v>
      </c>
      <c r="E101" s="14">
        <v>8.1218840242567106E-3</v>
      </c>
      <c r="F101" s="14">
        <v>0.5083333333333333</v>
      </c>
      <c r="G101" s="14">
        <v>0</v>
      </c>
      <c r="H101" s="14"/>
      <c r="I101" s="14"/>
      <c r="J101" s="14">
        <f t="shared" si="25"/>
        <v>0.54536221516969552</v>
      </c>
      <c r="K101" s="14">
        <f>(M102*(G102/100*I102-J101+C102))/C102</f>
        <v>0.28634536235692548</v>
      </c>
      <c r="L101" s="14"/>
      <c r="M101" s="14"/>
      <c r="O101" s="4"/>
      <c r="P101" s="14"/>
    </row>
    <row r="102" spans="1:16">
      <c r="A102">
        <v>50</v>
      </c>
      <c r="B102" s="4">
        <v>63017</v>
      </c>
      <c r="C102" s="14">
        <v>0.43445754508781198</v>
      </c>
      <c r="D102" s="14">
        <v>0.46000277084258262</v>
      </c>
      <c r="E102" s="14">
        <v>8.1681971871145394E-3</v>
      </c>
      <c r="F102" s="14">
        <v>0.50555555555555554</v>
      </c>
      <c r="G102" s="14">
        <v>1.9543756005694393</v>
      </c>
      <c r="H102" s="14">
        <v>0.99722222222222223</v>
      </c>
      <c r="I102" s="14">
        <v>32.129337357042132</v>
      </c>
      <c r="J102" s="14">
        <f t="shared" si="25"/>
        <v>0.54715629781242514</v>
      </c>
      <c r="K102" s="14">
        <f t="shared" ref="K102:K120" si="26">K103*(1+E103*F103)</f>
        <v>0.18908116411874457</v>
      </c>
      <c r="L102" s="14"/>
      <c r="M102" s="14">
        <f>P102</f>
        <v>0.24061761401847501</v>
      </c>
      <c r="O102" s="4">
        <v>63017</v>
      </c>
      <c r="P102" s="14" cm="1">
        <f t="array" ref="P102">interpolate(O99:O100,P99:P100,O102,"Natural Cubic Spline")</f>
        <v>0.24061761401847501</v>
      </c>
    </row>
    <row r="103" spans="1:16">
      <c r="A103">
        <v>50.5</v>
      </c>
      <c r="B103" s="4">
        <v>63201</v>
      </c>
      <c r="C103" s="14">
        <v>0.43209151992901568</v>
      </c>
      <c r="D103" s="14">
        <v>0.45807702898065161</v>
      </c>
      <c r="E103" s="14">
        <v>8.2251577321086899E-3</v>
      </c>
      <c r="F103" s="14">
        <v>0.51111111111111107</v>
      </c>
      <c r="G103" s="14">
        <v>0</v>
      </c>
      <c r="H103" s="14"/>
      <c r="I103" s="14"/>
      <c r="J103" s="14">
        <f t="shared" si="25"/>
        <v>0.5489727973866656</v>
      </c>
      <c r="K103" s="14">
        <f t="shared" si="26"/>
        <v>0.18828960038016282</v>
      </c>
      <c r="L103" s="14"/>
      <c r="M103" s="14"/>
      <c r="O103" s="4">
        <v>66488</v>
      </c>
      <c r="P103" s="14" cm="1">
        <f t="array" ref="P103">interpolate(O99:O100,P99:P100,O103,"Natural Cubic Spline")</f>
        <v>0.17409934828110898</v>
      </c>
    </row>
    <row r="104" spans="1:16">
      <c r="A104">
        <v>51</v>
      </c>
      <c r="B104" s="4">
        <v>63382</v>
      </c>
      <c r="C104" s="14">
        <v>0.42979759775090948</v>
      </c>
      <c r="D104" s="14">
        <v>0.45617770642395977</v>
      </c>
      <c r="E104" s="14">
        <v>8.2811107833842199E-3</v>
      </c>
      <c r="F104" s="14">
        <v>0.50277777777777777</v>
      </c>
      <c r="G104" s="14">
        <v>0</v>
      </c>
      <c r="H104" s="14"/>
      <c r="I104" s="14"/>
      <c r="J104" s="14">
        <f t="shared" si="25"/>
        <v>0.55076228481826228</v>
      </c>
      <c r="K104" s="14">
        <f t="shared" si="26"/>
        <v>0.1875088961261461</v>
      </c>
      <c r="L104" s="14"/>
      <c r="M104" s="14"/>
    </row>
    <row r="105" spans="1:16">
      <c r="A105">
        <v>51.5</v>
      </c>
      <c r="B105" s="4">
        <v>63566</v>
      </c>
      <c r="C105" s="14">
        <v>0.42749820729406318</v>
      </c>
      <c r="D105" s="14">
        <v>0.45424265881200709</v>
      </c>
      <c r="E105" s="14">
        <v>8.3346701275028908E-3</v>
      </c>
      <c r="F105" s="14">
        <v>0.51111111111111107</v>
      </c>
      <c r="G105" s="14">
        <v>0</v>
      </c>
      <c r="H105" s="14"/>
      <c r="I105" s="14"/>
      <c r="J105" s="14">
        <f t="shared" si="25"/>
        <v>0.55258340260429739</v>
      </c>
      <c r="K105" s="14">
        <f t="shared" si="26"/>
        <v>0.1867135073191982</v>
      </c>
      <c r="L105" s="14"/>
      <c r="M105" s="14"/>
    </row>
    <row r="106" spans="1:16">
      <c r="A106">
        <v>52</v>
      </c>
      <c r="B106" s="4">
        <v>63747</v>
      </c>
      <c r="C106" s="14">
        <v>0.42526686220753063</v>
      </c>
      <c r="D106" s="14">
        <v>0.45233577293794869</v>
      </c>
      <c r="E106" s="14">
        <v>8.3847031627381999E-3</v>
      </c>
      <c r="F106" s="14">
        <v>0.50277777777777777</v>
      </c>
      <c r="G106" s="14">
        <v>0</v>
      </c>
      <c r="H106" s="14"/>
      <c r="I106" s="14"/>
      <c r="J106" s="14">
        <f t="shared" si="25"/>
        <v>0.55437617562992303</v>
      </c>
      <c r="K106" s="14">
        <f t="shared" si="26"/>
        <v>0.18592969421248989</v>
      </c>
      <c r="L106" s="14"/>
      <c r="M106" s="14"/>
    </row>
    <row r="107" spans="1:16">
      <c r="A107">
        <v>52.5</v>
      </c>
      <c r="B107" s="4">
        <v>63933</v>
      </c>
      <c r="C107" s="14">
        <v>0.42300395048401113</v>
      </c>
      <c r="D107" s="14">
        <v>0.45037351900654238</v>
      </c>
      <c r="E107" s="14">
        <v>8.4328022734497608E-3</v>
      </c>
      <c r="F107" s="14">
        <v>0.51666666666666672</v>
      </c>
      <c r="G107" s="14">
        <v>0</v>
      </c>
      <c r="H107" s="14"/>
      <c r="I107" s="14"/>
      <c r="J107" s="14">
        <f t="shared" si="25"/>
        <v>0.55621918177883822</v>
      </c>
      <c r="K107" s="14">
        <f t="shared" si="26"/>
        <v>0.18512312242387374</v>
      </c>
      <c r="L107" s="14"/>
      <c r="M107" s="14"/>
    </row>
    <row r="108" spans="1:16">
      <c r="A108">
        <v>53</v>
      </c>
      <c r="B108" s="4">
        <v>64112</v>
      </c>
      <c r="C108" s="14">
        <v>0.42085359185350152</v>
      </c>
      <c r="D108" s="14">
        <v>0.44848329287351291</v>
      </c>
      <c r="E108" s="14">
        <v>8.4771553101963201E-3</v>
      </c>
      <c r="F108" s="14">
        <v>0.49722222222222218</v>
      </c>
      <c r="G108" s="14">
        <v>0</v>
      </c>
      <c r="H108" s="14"/>
      <c r="I108" s="14"/>
      <c r="J108" s="14">
        <f t="shared" si="25"/>
        <v>0.55799309229472238</v>
      </c>
      <c r="K108" s="14">
        <f t="shared" si="26"/>
        <v>0.18434609808977348</v>
      </c>
      <c r="L108" s="14"/>
      <c r="M108" s="14"/>
    </row>
    <row r="109" spans="1:16">
      <c r="A109">
        <v>53.5</v>
      </c>
      <c r="B109" s="4">
        <v>64297</v>
      </c>
      <c r="C109" s="14">
        <v>0.41865796586185228</v>
      </c>
      <c r="D109" s="14">
        <v>0.44652860355843721</v>
      </c>
      <c r="E109" s="14">
        <v>8.5184234961502292E-3</v>
      </c>
      <c r="F109" s="14">
        <v>0.51388888888888884</v>
      </c>
      <c r="G109" s="14">
        <v>0</v>
      </c>
      <c r="H109" s="14"/>
      <c r="I109" s="14"/>
      <c r="J109" s="14">
        <f t="shared" si="25"/>
        <v>0.55982577724708593</v>
      </c>
      <c r="K109" s="14">
        <f t="shared" si="26"/>
        <v>0.18354263594539078</v>
      </c>
      <c r="L109" s="14"/>
      <c r="M109" s="14"/>
    </row>
    <row r="110" spans="1:16">
      <c r="A110">
        <v>54</v>
      </c>
      <c r="B110" s="4">
        <v>64479</v>
      </c>
      <c r="C110" s="14">
        <v>0.41652316909722831</v>
      </c>
      <c r="D110" s="14">
        <v>0.44460526621556679</v>
      </c>
      <c r="E110" s="14">
        <v>8.5568116809111999E-3</v>
      </c>
      <c r="F110" s="14">
        <v>0.50555555555555554</v>
      </c>
      <c r="G110" s="14">
        <v>0</v>
      </c>
      <c r="H110" s="14"/>
      <c r="I110" s="14"/>
      <c r="J110" s="14">
        <f t="shared" si="25"/>
        <v>0.56162763301931828</v>
      </c>
      <c r="K110" s="14">
        <f t="shared" si="26"/>
        <v>0.18275206082229806</v>
      </c>
      <c r="L110" s="14"/>
      <c r="M110" s="14"/>
    </row>
    <row r="111" spans="1:16">
      <c r="A111">
        <v>54.5</v>
      </c>
      <c r="B111" s="4">
        <v>64662</v>
      </c>
      <c r="C111" s="14">
        <v>0.41440051403291073</v>
      </c>
      <c r="D111" s="14">
        <v>0.44267175799546321</v>
      </c>
      <c r="E111" s="14">
        <v>8.5926166609796902E-3</v>
      </c>
      <c r="F111" s="14">
        <v>0.5083333333333333</v>
      </c>
      <c r="G111" s="14">
        <v>0</v>
      </c>
      <c r="H111" s="14"/>
      <c r="I111" s="14"/>
      <c r="J111" s="14">
        <f t="shared" si="25"/>
        <v>0.56343769860626047</v>
      </c>
      <c r="K111" s="14">
        <f t="shared" si="26"/>
        <v>0.18195728713696951</v>
      </c>
      <c r="L111" s="14"/>
      <c r="M111" s="14"/>
    </row>
    <row r="112" spans="1:16">
      <c r="A112">
        <v>55</v>
      </c>
      <c r="B112" s="4">
        <v>64843</v>
      </c>
      <c r="C112" s="14">
        <v>0.41232330304732701</v>
      </c>
      <c r="D112" s="14">
        <v>0.4407604879776853</v>
      </c>
      <c r="E112" s="14">
        <v>8.6246864987292293E-3</v>
      </c>
      <c r="F112" s="14">
        <v>0.50277777777777777</v>
      </c>
      <c r="G112" s="14">
        <v>0</v>
      </c>
      <c r="H112" s="14"/>
      <c r="I112" s="14"/>
      <c r="J112" s="14">
        <f t="shared" si="25"/>
        <v>0.56522565643878153</v>
      </c>
      <c r="K112" s="14">
        <f t="shared" si="26"/>
        <v>0.18117167228546896</v>
      </c>
      <c r="L112" s="14"/>
      <c r="M112" s="14"/>
    </row>
    <row r="113" spans="1:13">
      <c r="A113">
        <v>55.5</v>
      </c>
      <c r="B113" s="4">
        <v>65027</v>
      </c>
      <c r="C113" s="14">
        <v>0.41023303462068861</v>
      </c>
      <c r="D113" s="14">
        <v>0.43881938792169117</v>
      </c>
      <c r="E113" s="14">
        <v>8.6545958585986602E-3</v>
      </c>
      <c r="F113" s="14">
        <v>0.51111111111111107</v>
      </c>
      <c r="G113" s="14">
        <v>0</v>
      </c>
      <c r="H113" s="14"/>
      <c r="I113" s="14"/>
      <c r="J113" s="14">
        <f t="shared" si="25"/>
        <v>0.56704030590138677</v>
      </c>
      <c r="K113" s="14">
        <f t="shared" si="26"/>
        <v>0.18037379599480727</v>
      </c>
      <c r="L113" s="14"/>
      <c r="M113" s="14"/>
    </row>
    <row r="114" spans="1:13">
      <c r="A114">
        <v>56</v>
      </c>
      <c r="B114" s="4">
        <v>65208</v>
      </c>
      <c r="C114" s="14">
        <v>0.40819661459807471</v>
      </c>
      <c r="D114" s="14">
        <v>0.43691244865275902</v>
      </c>
      <c r="E114" s="14">
        <v>8.6809322952843097E-3</v>
      </c>
      <c r="F114" s="14">
        <v>0.50277777777777777</v>
      </c>
      <c r="G114" s="14">
        <v>0</v>
      </c>
      <c r="H114" s="14"/>
      <c r="I114" s="14"/>
      <c r="J114" s="14">
        <f t="shared" si="25"/>
        <v>0.56882191261967208</v>
      </c>
      <c r="K114" s="14">
        <f t="shared" si="26"/>
        <v>0.17958996126886703</v>
      </c>
      <c r="L114" s="14"/>
      <c r="M114" s="14"/>
    </row>
    <row r="115" spans="1:13">
      <c r="A115">
        <v>56.5</v>
      </c>
      <c r="B115" s="4">
        <v>65392</v>
      </c>
      <c r="C115" s="14">
        <v>0.40614527843017612</v>
      </c>
      <c r="D115" s="14">
        <v>0.43497715428004807</v>
      </c>
      <c r="E115" s="14">
        <v>8.7049296142755594E-3</v>
      </c>
      <c r="F115" s="14">
        <v>0.51111111111111107</v>
      </c>
      <c r="G115" s="14">
        <v>0</v>
      </c>
      <c r="H115" s="14"/>
      <c r="I115" s="14"/>
      <c r="J115" s="14">
        <f t="shared" si="25"/>
        <v>0.57062892860686798</v>
      </c>
      <c r="K115" s="14">
        <f t="shared" si="26"/>
        <v>0.17879447136577381</v>
      </c>
      <c r="L115" s="14"/>
      <c r="M115" s="14"/>
    </row>
    <row r="116" spans="1:13">
      <c r="A116">
        <v>57</v>
      </c>
      <c r="B116" s="4">
        <v>65573</v>
      </c>
      <c r="C116" s="14">
        <v>0.40414470883480152</v>
      </c>
      <c r="D116" s="14">
        <v>0.43307728307130727</v>
      </c>
      <c r="E116" s="14">
        <v>8.7253465216486307E-3</v>
      </c>
      <c r="F116" s="14">
        <v>0.50277777777777777</v>
      </c>
      <c r="G116" s="14">
        <v>0</v>
      </c>
      <c r="H116" s="14"/>
      <c r="I116" s="14"/>
      <c r="J116" s="14">
        <f t="shared" si="25"/>
        <v>0.57240187520668706</v>
      </c>
      <c r="K116" s="14">
        <f t="shared" si="26"/>
        <v>0.17801354191904897</v>
      </c>
      <c r="L116" s="14"/>
      <c r="M116" s="14"/>
    </row>
    <row r="117" spans="1:13">
      <c r="A117">
        <v>57.5</v>
      </c>
      <c r="B117" s="4">
        <v>65757</v>
      </c>
      <c r="C117" s="14">
        <v>0.40212737607779281</v>
      </c>
      <c r="D117" s="14">
        <v>0.43115052977559809</v>
      </c>
      <c r="E117" s="14">
        <v>8.7434305391164303E-3</v>
      </c>
      <c r="F117" s="14">
        <v>0.51111111111111107</v>
      </c>
      <c r="G117" s="14">
        <v>0</v>
      </c>
      <c r="H117" s="14"/>
      <c r="I117" s="14"/>
      <c r="J117" s="14">
        <f t="shared" si="25"/>
        <v>0.57419892796122274</v>
      </c>
      <c r="K117" s="14">
        <f t="shared" si="26"/>
        <v>0.17722156276895137</v>
      </c>
      <c r="L117" s="14"/>
      <c r="M117" s="14"/>
    </row>
    <row r="118" spans="1:13">
      <c r="A118">
        <v>58</v>
      </c>
      <c r="B118" s="4">
        <v>65939</v>
      </c>
      <c r="C118" s="14">
        <v>0.40014705654540328</v>
      </c>
      <c r="D118" s="14">
        <v>0.42924994370055652</v>
      </c>
      <c r="E118" s="14">
        <v>8.7580699374005203E-3</v>
      </c>
      <c r="F118" s="14">
        <v>0.50555555555555554</v>
      </c>
      <c r="G118" s="14">
        <v>0</v>
      </c>
      <c r="H118" s="14"/>
      <c r="I118" s="14"/>
      <c r="J118" s="14">
        <f t="shared" si="25"/>
        <v>0.57597065544727122</v>
      </c>
      <c r="K118" s="14">
        <f t="shared" si="26"/>
        <v>0.17644033948117974</v>
      </c>
      <c r="L118" s="14"/>
      <c r="M118" s="14"/>
    </row>
    <row r="119" spans="1:13">
      <c r="A119">
        <v>58.5</v>
      </c>
      <c r="B119" s="4">
        <v>66124</v>
      </c>
      <c r="C119" s="14">
        <v>0.39814828570278787</v>
      </c>
      <c r="D119" s="14">
        <v>0.42732401412408821</v>
      </c>
      <c r="E119" s="14">
        <v>8.77028841729857E-3</v>
      </c>
      <c r="F119" s="14">
        <v>0.51388888888888884</v>
      </c>
      <c r="G119" s="14">
        <v>0</v>
      </c>
      <c r="H119" s="14"/>
      <c r="I119" s="14"/>
      <c r="J119" s="14">
        <f t="shared" si="25"/>
        <v>0.57776509136453869</v>
      </c>
      <c r="K119" s="14">
        <f t="shared" si="26"/>
        <v>0.17564869891540724</v>
      </c>
      <c r="L119" s="14"/>
      <c r="M119" s="14"/>
    </row>
    <row r="120" spans="1:13">
      <c r="A120">
        <v>59</v>
      </c>
      <c r="B120" s="4">
        <v>66306</v>
      </c>
      <c r="C120" s="14">
        <v>0.39619474870736199</v>
      </c>
      <c r="D120" s="14">
        <v>0.42543583897085763</v>
      </c>
      <c r="E120" s="14">
        <v>8.7788841684794394E-3</v>
      </c>
      <c r="F120" s="14">
        <v>0.50555555555555554</v>
      </c>
      <c r="G120" s="14">
        <v>0</v>
      </c>
      <c r="H120" s="14"/>
      <c r="I120" s="14"/>
      <c r="J120" s="14">
        <f t="shared" si="25"/>
        <v>0.57952348831144218</v>
      </c>
      <c r="K120" s="14">
        <f t="shared" si="26"/>
        <v>0.17487257705464743</v>
      </c>
      <c r="L120" s="14"/>
      <c r="M120" s="14"/>
    </row>
    <row r="121" spans="1:13">
      <c r="A121">
        <v>59.5</v>
      </c>
      <c r="B121" s="4">
        <v>66488</v>
      </c>
      <c r="C121" s="14">
        <v>0.39425281878583501</v>
      </c>
      <c r="D121" s="14">
        <v>0.4235547524322909</v>
      </c>
      <c r="E121" s="14">
        <v>8.7850042128156895E-3</v>
      </c>
      <c r="F121" s="14">
        <v>0.50555555555555554</v>
      </c>
      <c r="G121" s="14">
        <v>0</v>
      </c>
      <c r="H121" s="14"/>
      <c r="I121" s="14"/>
      <c r="J121" s="14">
        <f t="shared" si="25"/>
        <v>0.58127448638549373</v>
      </c>
      <c r="K121" s="14">
        <f>(K122*(G122/100*I122-J121+C122))/C122</f>
        <v>0.17409934828110898</v>
      </c>
      <c r="L121" s="14"/>
      <c r="M121" s="14"/>
    </row>
    <row r="122" spans="1:13">
      <c r="A122">
        <v>60</v>
      </c>
      <c r="B122" s="4">
        <v>66670</v>
      </c>
      <c r="C122" s="14">
        <v>0.39232141315840419</v>
      </c>
      <c r="D122" s="14">
        <v>0.42168135874896218</v>
      </c>
      <c r="E122" s="14">
        <v>8.7877109154303693E-3</v>
      </c>
      <c r="F122" s="14">
        <v>0.50555555555555554</v>
      </c>
      <c r="G122" s="14">
        <v>1.6262586117555731</v>
      </c>
      <c r="H122" s="14">
        <v>0.99722222222222223</v>
      </c>
      <c r="I122" s="14">
        <v>36.236229389371289</v>
      </c>
      <c r="J122" s="14">
        <f t="shared" si="25"/>
        <v>0.58301744334101591</v>
      </c>
      <c r="K122" s="15">
        <f>(C122*P103)/(G122/100*I122-J121+C122)</f>
        <v>0.17061149914132198</v>
      </c>
      <c r="L122" s="15">
        <v>0.17061149914132201</v>
      </c>
      <c r="M122" s="14">
        <f>K122</f>
        <v>0.17061149914132198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2425-9FB8-4816-BCB7-55222D96430B}">
  <sheetPr codeName="Sheet11"/>
  <dimension ref="A1:N31"/>
  <sheetViews>
    <sheetView workbookViewId="0">
      <selection activeCell="P8" sqref="P8"/>
    </sheetView>
  </sheetViews>
  <sheetFormatPr defaultRowHeight="14.4"/>
  <cols>
    <col min="1" max="1" width="10.77734375" bestFit="1" customWidth="1"/>
    <col min="2" max="2" width="9.6640625" bestFit="1" customWidth="1"/>
    <col min="3" max="3" width="9.5546875" bestFit="1" customWidth="1"/>
    <col min="4" max="4" width="9.6640625" bestFit="1" customWidth="1"/>
    <col min="5" max="14" width="9.5546875" bestFit="1" customWidth="1"/>
  </cols>
  <sheetData>
    <row r="1" spans="1:14">
      <c r="A1" s="5" t="s">
        <v>0</v>
      </c>
      <c r="B1" s="6" t="s">
        <v>20</v>
      </c>
      <c r="C1" s="5" t="s">
        <v>8</v>
      </c>
      <c r="D1" s="7" t="s">
        <v>9</v>
      </c>
      <c r="E1" s="5" t="s">
        <v>10</v>
      </c>
      <c r="F1" s="5" t="s">
        <v>11</v>
      </c>
      <c r="G1" s="5" t="s">
        <v>12</v>
      </c>
      <c r="H1" s="6" t="s">
        <v>24</v>
      </c>
      <c r="I1" s="5" t="s">
        <v>13</v>
      </c>
      <c r="J1" s="2" t="s">
        <v>14</v>
      </c>
      <c r="K1" s="5" t="s">
        <v>15</v>
      </c>
      <c r="L1" s="5" t="s">
        <v>16</v>
      </c>
      <c r="M1" s="5" t="s">
        <v>17</v>
      </c>
      <c r="N1" s="5" t="s">
        <v>23</v>
      </c>
    </row>
    <row r="2" spans="1:14">
      <c r="A2" s="4">
        <v>44750</v>
      </c>
      <c r="B2" s="13"/>
      <c r="C2" s="12"/>
      <c r="H2" s="11"/>
      <c r="I2">
        <v>1</v>
      </c>
      <c r="J2">
        <v>1</v>
      </c>
      <c r="K2">
        <v>1</v>
      </c>
      <c r="L2">
        <v>1</v>
      </c>
      <c r="M2">
        <v>1</v>
      </c>
      <c r="N2">
        <v>1</v>
      </c>
    </row>
    <row r="3" spans="1:14">
      <c r="A3" s="4">
        <v>44754</v>
      </c>
      <c r="B3" s="16">
        <v>1.0000444460492699</v>
      </c>
      <c r="C3">
        <v>1</v>
      </c>
      <c r="D3">
        <v>1</v>
      </c>
      <c r="E3">
        <v>1</v>
      </c>
      <c r="F3">
        <v>1</v>
      </c>
      <c r="G3">
        <v>1</v>
      </c>
      <c r="H3" s="11">
        <v>1</v>
      </c>
      <c r="I3">
        <f>1*$B$4</f>
        <v>1.0000444460492699</v>
      </c>
      <c r="J3">
        <f t="shared" ref="J3:N3" si="0">1*$B$4</f>
        <v>1.0000444460492699</v>
      </c>
      <c r="K3">
        <f t="shared" si="0"/>
        <v>1.0000444460492699</v>
      </c>
      <c r="L3">
        <f t="shared" si="0"/>
        <v>1.0000444460492699</v>
      </c>
      <c r="M3">
        <f t="shared" si="0"/>
        <v>1.0000444460492699</v>
      </c>
      <c r="N3">
        <f t="shared" si="0"/>
        <v>1.0000444460492699</v>
      </c>
    </row>
    <row r="4" spans="1:14">
      <c r="A4" s="4">
        <v>44938</v>
      </c>
      <c r="B4" s="16">
        <v>1.0000444460492699</v>
      </c>
      <c r="C4" s="14">
        <v>0.99801094458483441</v>
      </c>
      <c r="D4" s="14">
        <v>0.99801077212326716</v>
      </c>
      <c r="E4" s="14">
        <v>0.99801059340679399</v>
      </c>
      <c r="F4" s="14">
        <v>0.9980104941769089</v>
      </c>
      <c r="G4" s="14">
        <v>0.99801037595033615</v>
      </c>
      <c r="H4" s="17">
        <v>0.99801063213993446</v>
      </c>
      <c r="I4" s="14">
        <f t="shared" ref="I4:N4" si="1">$B4*C4</f>
        <v>0.99805530222844929</v>
      </c>
      <c r="J4" s="14">
        <f t="shared" si="1"/>
        <v>0.99805512975921684</v>
      </c>
      <c r="K4" s="14">
        <f t="shared" si="1"/>
        <v>0.99805495103480046</v>
      </c>
      <c r="L4" s="14">
        <f t="shared" si="1"/>
        <v>0.99805485180050502</v>
      </c>
      <c r="M4" s="14">
        <f t="shared" si="1"/>
        <v>0.99805473356867747</v>
      </c>
      <c r="N4" s="14">
        <f t="shared" si="1"/>
        <v>0.99805498976966245</v>
      </c>
    </row>
    <row r="5" spans="1:14">
      <c r="A5" s="4">
        <v>45119</v>
      </c>
      <c r="B5" s="15">
        <v>1.0000444460492699</v>
      </c>
      <c r="C5" s="18">
        <v>0.99104905550151667</v>
      </c>
      <c r="D5" s="14">
        <v>0.99104671902152375</v>
      </c>
      <c r="E5" s="14">
        <v>0.99104422953947902</v>
      </c>
      <c r="F5" s="14">
        <v>0.99104292859498333</v>
      </c>
      <c r="G5" s="14">
        <v>0.99104131669611384</v>
      </c>
      <c r="H5" s="17">
        <v>0.99104474380986662</v>
      </c>
      <c r="I5" s="14">
        <f t="shared" ref="I5:M7" si="2">$B5*C5</f>
        <v>0.99109310371666637</v>
      </c>
      <c r="J5" s="14">
        <f t="shared" si="2"/>
        <v>0.99109076713282618</v>
      </c>
      <c r="K5" s="14">
        <f t="shared" si="2"/>
        <v>0.99108827754013373</v>
      </c>
      <c r="L5" s="14">
        <f t="shared" si="2"/>
        <v>0.9910869765378163</v>
      </c>
      <c r="M5" s="14">
        <f t="shared" si="2"/>
        <v>0.99108536456730423</v>
      </c>
      <c r="N5" s="14">
        <f t="shared" ref="N5:N31" si="3">$B5*H5</f>
        <v>0.99108879183337872</v>
      </c>
    </row>
    <row r="6" spans="1:14">
      <c r="A6" s="4">
        <v>45303</v>
      </c>
      <c r="B6" s="15">
        <v>1.0000444460492699</v>
      </c>
      <c r="C6" s="18">
        <v>0.9826076540423776</v>
      </c>
      <c r="D6" s="14">
        <v>0.98260213597613411</v>
      </c>
      <c r="E6" s="14">
        <v>0.9825962491916419</v>
      </c>
      <c r="F6" s="14">
        <v>0.98259318147802543</v>
      </c>
      <c r="G6" s="14">
        <v>0.98258937359001575</v>
      </c>
      <c r="H6" s="17">
        <v>0.98259746260138792</v>
      </c>
      <c r="I6" s="14">
        <f t="shared" si="2"/>
        <v>0.98265132707058211</v>
      </c>
      <c r="J6" s="14">
        <f t="shared" si="2"/>
        <v>0.98264580875908236</v>
      </c>
      <c r="K6" s="14">
        <f t="shared" si="2"/>
        <v>0.9826399217129459</v>
      </c>
      <c r="L6" s="14">
        <f t="shared" si="2"/>
        <v>0.98263685386298172</v>
      </c>
      <c r="M6" s="14">
        <f t="shared" si="2"/>
        <v>0.98263304580572641</v>
      </c>
      <c r="N6" s="14">
        <f t="shared" si="3"/>
        <v>0.98264113517662321</v>
      </c>
    </row>
    <row r="7" spans="1:14">
      <c r="A7" s="4">
        <v>45485</v>
      </c>
      <c r="B7" s="15">
        <v>1.0000444460492699</v>
      </c>
      <c r="C7" s="18">
        <v>0.97451152241208694</v>
      </c>
      <c r="D7" s="14">
        <v>0.97447656247517556</v>
      </c>
      <c r="E7" s="14">
        <v>0.97443924047653241</v>
      </c>
      <c r="F7" s="14">
        <v>0.97441982550909922</v>
      </c>
      <c r="G7" s="14">
        <v>0.97439570009818133</v>
      </c>
      <c r="H7" s="17">
        <v>0.97444692296927427</v>
      </c>
      <c r="I7" s="14">
        <f t="shared" si="2"/>
        <v>0.97455483559922618</v>
      </c>
      <c r="J7" s="14">
        <f t="shared" si="2"/>
        <v>0.97451987410848373</v>
      </c>
      <c r="K7" s="14">
        <f t="shared" si="2"/>
        <v>0.97448255045102516</v>
      </c>
      <c r="L7" s="14">
        <f t="shared" si="2"/>
        <v>0.97446313462067335</v>
      </c>
      <c r="M7" s="14">
        <f t="shared" si="2"/>
        <v>0.9744390081374763</v>
      </c>
      <c r="N7" s="14">
        <f t="shared" si="3"/>
        <v>0.97449023328522344</v>
      </c>
    </row>
    <row r="8" spans="1:14">
      <c r="A8" s="4">
        <v>45852</v>
      </c>
      <c r="B8" s="15">
        <v>1.0000444460492699</v>
      </c>
      <c r="C8" s="18">
        <v>0.95743766718421675</v>
      </c>
      <c r="D8" s="14">
        <v>0.95731954252894325</v>
      </c>
      <c r="E8" s="14">
        <v>0.95719344443222321</v>
      </c>
      <c r="F8" s="14">
        <v>0.95712787152142165</v>
      </c>
      <c r="G8" s="14">
        <v>0.9570463842016097</v>
      </c>
      <c r="H8" s="17">
        <v>0.95729638500968794</v>
      </c>
      <c r="I8" s="14">
        <f t="shared" ref="I8:I31" si="4">$B8*C8</f>
        <v>0.95748022150594525</v>
      </c>
      <c r="J8" s="14">
        <f t="shared" ref="J8:J31" si="5">$B8*D8</f>
        <v>0.95736209160049757</v>
      </c>
      <c r="K8" s="14">
        <f t="shared" ref="K8:K31" si="6">$B8*E8</f>
        <v>0.95723598789921527</v>
      </c>
      <c r="L8" s="14">
        <f t="shared" ref="L8:L31" si="7">$B8*F8</f>
        <v>0.95717041207395692</v>
      </c>
      <c r="M8" s="14">
        <f t="shared" ref="M8:M31" si="8">$B8*G8</f>
        <v>0.95708892113235555</v>
      </c>
      <c r="N8" s="14">
        <f t="shared" si="3"/>
        <v>0.95733893305198203</v>
      </c>
    </row>
    <row r="9" spans="1:14">
      <c r="A9" s="4">
        <v>46216</v>
      </c>
      <c r="B9" s="15">
        <v>1.0000444460492699</v>
      </c>
      <c r="C9" s="18">
        <v>0.93850504316265526</v>
      </c>
      <c r="D9" s="14">
        <v>0.93821073779150188</v>
      </c>
      <c r="E9" s="14">
        <v>0.9378966579993524</v>
      </c>
      <c r="F9" s="14">
        <v>0.93773338350351676</v>
      </c>
      <c r="G9" s="14">
        <v>0.93753050902093793</v>
      </c>
      <c r="H9" s="17">
        <v>0.93807952562658103</v>
      </c>
      <c r="I9" s="14">
        <f t="shared" si="4"/>
        <v>0.93854675600404369</v>
      </c>
      <c r="J9" s="14">
        <f t="shared" si="5"/>
        <v>0.93825243755217935</v>
      </c>
      <c r="K9" s="14">
        <f t="shared" si="6"/>
        <v>0.93793834380042396</v>
      </c>
      <c r="L9" s="14">
        <f t="shared" si="7"/>
        <v>0.93777506204768202</v>
      </c>
      <c r="M9" s="14">
        <f t="shared" si="8"/>
        <v>0.93757217854813391</v>
      </c>
      <c r="N9" s="14">
        <f t="shared" si="3"/>
        <v>0.93812121955539607</v>
      </c>
    </row>
    <row r="10" spans="1:14">
      <c r="A10" s="4">
        <v>46580</v>
      </c>
      <c r="B10" s="15">
        <v>1.0000444460492699</v>
      </c>
      <c r="C10" s="18">
        <v>0.91814778553792398</v>
      </c>
      <c r="D10" s="14">
        <v>0.91753426066332511</v>
      </c>
      <c r="E10" s="14">
        <v>0.91687986705109736</v>
      </c>
      <c r="F10" s="14">
        <v>0.91653984043345116</v>
      </c>
      <c r="G10" s="14">
        <v>0.9161174642378439</v>
      </c>
      <c r="H10" s="17">
        <v>0.91712844122432902</v>
      </c>
      <c r="I10" s="14">
        <f t="shared" si="4"/>
        <v>0.918188593579637</v>
      </c>
      <c r="J10" s="14">
        <f t="shared" si="5"/>
        <v>0.91757504143628132</v>
      </c>
      <c r="K10" s="14">
        <f t="shared" si="6"/>
        <v>0.9169206187388429</v>
      </c>
      <c r="L10" s="14">
        <f t="shared" si="7"/>
        <v>0.91658057700835693</v>
      </c>
      <c r="M10" s="14">
        <f t="shared" si="8"/>
        <v>0.91615818203979649</v>
      </c>
      <c r="N10" s="14">
        <f t="shared" si="3"/>
        <v>0.91716920396021451</v>
      </c>
    </row>
    <row r="11" spans="1:14">
      <c r="A11" s="4">
        <v>46946</v>
      </c>
      <c r="B11" s="15">
        <v>1.0000444460492699</v>
      </c>
      <c r="C11" s="18">
        <v>0.89768315511181196</v>
      </c>
      <c r="D11" s="14">
        <v>0.89655655035432513</v>
      </c>
      <c r="E11" s="14">
        <v>0.8953559268265634</v>
      </c>
      <c r="F11" s="14">
        <v>0.89473251886868055</v>
      </c>
      <c r="G11" s="14">
        <v>0.89395848807009515</v>
      </c>
      <c r="H11" s="17">
        <v>0.89571111788568369</v>
      </c>
      <c r="I11" s="14">
        <f t="shared" si="4"/>
        <v>0.8977230535815528</v>
      </c>
      <c r="J11" s="14">
        <f t="shared" si="5"/>
        <v>0.89659639875093544</v>
      </c>
      <c r="K11" s="14">
        <f t="shared" si="6"/>
        <v>0.89539572186020122</v>
      </c>
      <c r="L11" s="14">
        <f t="shared" si="7"/>
        <v>0.89477228619429761</v>
      </c>
      <c r="M11" s="14">
        <f t="shared" si="8"/>
        <v>0.89399822099310111</v>
      </c>
      <c r="N11" s="14">
        <f t="shared" si="3"/>
        <v>0.8957509287061608</v>
      </c>
    </row>
    <row r="12" spans="1:14">
      <c r="A12" s="4">
        <v>47311</v>
      </c>
      <c r="B12" s="15">
        <v>1.0000444460492699</v>
      </c>
      <c r="C12" s="18">
        <v>0.87741739281850839</v>
      </c>
      <c r="D12" s="14">
        <v>0.87553009293013062</v>
      </c>
      <c r="E12" s="14">
        <v>0.87352131847976189</v>
      </c>
      <c r="F12" s="14">
        <v>0.87247935820135825</v>
      </c>
      <c r="G12" s="14">
        <v>0.87118653749459152</v>
      </c>
      <c r="H12" s="17">
        <v>0.8740370041426615</v>
      </c>
      <c r="I12" s="14">
        <f t="shared" si="4"/>
        <v>0.87745639055517988</v>
      </c>
      <c r="J12" s="14">
        <f t="shared" si="5"/>
        <v>0.87556900678377825</v>
      </c>
      <c r="K12" s="14">
        <f t="shared" si="6"/>
        <v>0.87356014305132135</v>
      </c>
      <c r="L12" s="14">
        <f t="shared" si="7"/>
        <v>0.8725181364618998</v>
      </c>
      <c r="M12" s="14">
        <f t="shared" si="8"/>
        <v>0.87122525829436026</v>
      </c>
      <c r="N12" s="14">
        <f t="shared" si="3"/>
        <v>0.87407585163441137</v>
      </c>
    </row>
    <row r="13" spans="1:14">
      <c r="A13" s="4">
        <v>47676</v>
      </c>
      <c r="B13" s="15">
        <v>1.0000444460492699</v>
      </c>
      <c r="C13" s="18">
        <v>0.85705170642004924</v>
      </c>
      <c r="D13" s="14">
        <v>0.85409133454987063</v>
      </c>
      <c r="E13" s="14">
        <v>0.85094600396221021</v>
      </c>
      <c r="F13" s="14">
        <v>0.8493168544878722</v>
      </c>
      <c r="G13" s="14">
        <v>0.84729745458225258</v>
      </c>
      <c r="H13" s="17">
        <v>0.85168947472002765</v>
      </c>
      <c r="I13" s="14">
        <f t="shared" si="4"/>
        <v>0.85708979898241966</v>
      </c>
      <c r="J13" s="14">
        <f t="shared" si="5"/>
        <v>0.85412929553540706</v>
      </c>
      <c r="K13" s="14">
        <f t="shared" si="6"/>
        <v>0.8509838251502283</v>
      </c>
      <c r="L13" s="14">
        <f t="shared" si="7"/>
        <v>0.84935460326663248</v>
      </c>
      <c r="M13" s="14">
        <f t="shared" si="8"/>
        <v>0.84733511360666525</v>
      </c>
      <c r="N13" s="14">
        <f t="shared" si="3"/>
        <v>0.85172732895238368</v>
      </c>
    </row>
    <row r="14" spans="1:14">
      <c r="A14" s="4">
        <v>48043</v>
      </c>
      <c r="B14" s="15">
        <v>1.0000444460492699</v>
      </c>
      <c r="C14" s="18">
        <v>0.83674015066591045</v>
      </c>
      <c r="D14" s="14">
        <v>0.83232040867066581</v>
      </c>
      <c r="E14" s="14">
        <v>0.8276359472577659</v>
      </c>
      <c r="F14" s="14">
        <v>0.82521436378446988</v>
      </c>
      <c r="G14" s="14">
        <v>0.82221676615207395</v>
      </c>
      <c r="H14" s="17">
        <v>0.82878111312407454</v>
      </c>
      <c r="I14" s="14">
        <f t="shared" si="4"/>
        <v>0.83677734045987306</v>
      </c>
      <c r="J14" s="14">
        <f t="shared" si="5"/>
        <v>0.83235740202455788</v>
      </c>
      <c r="K14" s="14">
        <f t="shared" si="6"/>
        <v>0.82767273240585526</v>
      </c>
      <c r="L14" s="14">
        <f t="shared" si="7"/>
        <v>0.82525104130274085</v>
      </c>
      <c r="M14" s="14">
        <f t="shared" si="8"/>
        <v>0.82225331043897287</v>
      </c>
      <c r="N14" s="14">
        <f t="shared" si="3"/>
        <v>0.82881794917026241</v>
      </c>
    </row>
    <row r="15" spans="1:14">
      <c r="A15" s="4">
        <v>48407</v>
      </c>
      <c r="B15" s="15">
        <v>1.0000444460492699</v>
      </c>
      <c r="C15" s="18">
        <v>0.81697295089458721</v>
      </c>
      <c r="D15" s="14">
        <v>0.81062692857388308</v>
      </c>
      <c r="E15" s="14">
        <v>0.80392265619070924</v>
      </c>
      <c r="F15" s="14">
        <v>0.80046602574818715</v>
      </c>
      <c r="G15" s="14">
        <v>0.79619493321510515</v>
      </c>
      <c r="H15" s="17">
        <v>0.80547248666946025</v>
      </c>
      <c r="I15" s="14">
        <f t="shared" si="4"/>
        <v>0.81700926211461489</v>
      </c>
      <c r="J15" s="14">
        <f t="shared" si="5"/>
        <v>0.81066295773829</v>
      </c>
      <c r="K15" s="14">
        <f t="shared" si="6"/>
        <v>0.80395838737669545</v>
      </c>
      <c r="L15" s="14">
        <f t="shared" si="7"/>
        <v>0.80050160330060638</v>
      </c>
      <c r="M15" s="14">
        <f t="shared" si="8"/>
        <v>0.79623032093433532</v>
      </c>
      <c r="N15" s="14">
        <f t="shared" si="3"/>
        <v>0.80550828673928832</v>
      </c>
    </row>
    <row r="16" spans="1:14">
      <c r="A16" s="4">
        <v>48772</v>
      </c>
      <c r="B16" s="15">
        <v>1.0000444460492699</v>
      </c>
      <c r="C16" s="18">
        <v>0.7987158806004262</v>
      </c>
      <c r="D16" s="14">
        <v>0.78989253264908887</v>
      </c>
      <c r="E16" s="14">
        <v>0.78061038652673986</v>
      </c>
      <c r="F16" s="14">
        <v>0.77584085931232916</v>
      </c>
      <c r="G16" s="14">
        <v>0.76996143214175761</v>
      </c>
      <c r="H16" s="17">
        <v>0.78267545028228147</v>
      </c>
      <c r="I16" s="14">
        <f t="shared" si="4"/>
        <v>0.79875138036580806</v>
      </c>
      <c r="J16" s="14">
        <f t="shared" si="5"/>
        <v>0.78992764025151296</v>
      </c>
      <c r="K16" s="14">
        <f t="shared" si="6"/>
        <v>0.78064508157444001</v>
      </c>
      <c r="L16" s="14">
        <f t="shared" si="7"/>
        <v>0.77587534237338773</v>
      </c>
      <c r="M16" s="14">
        <f t="shared" si="8"/>
        <v>0.7699956538855065</v>
      </c>
      <c r="N16" s="14">
        <f t="shared" si="3"/>
        <v>0.78271023711390708</v>
      </c>
    </row>
    <row r="17" spans="1:14">
      <c r="A17" s="4">
        <v>49137</v>
      </c>
      <c r="B17" s="15">
        <v>1.0000444460492699</v>
      </c>
      <c r="C17" s="18">
        <v>0.78180408997042061</v>
      </c>
      <c r="D17" s="14">
        <v>0.76986236131883157</v>
      </c>
      <c r="E17" s="14">
        <v>0.75736711835345694</v>
      </c>
      <c r="F17" s="14">
        <v>0.75097420418291538</v>
      </c>
      <c r="G17" s="14">
        <v>0.74311734334150759</v>
      </c>
      <c r="H17" s="17">
        <v>0.76007457235941267</v>
      </c>
      <c r="I17" s="14">
        <f t="shared" si="4"/>
        <v>0.78183883807352283</v>
      </c>
      <c r="J17" s="14">
        <f t="shared" si="5"/>
        <v>0.76989657865927374</v>
      </c>
      <c r="K17" s="14">
        <f t="shared" si="6"/>
        <v>0.7574007803297147</v>
      </c>
      <c r="L17" s="14">
        <f t="shared" si="7"/>
        <v>0.75100758201939488</v>
      </c>
      <c r="M17" s="14">
        <f t="shared" si="8"/>
        <v>0.74315037197156308</v>
      </c>
      <c r="N17" s="14">
        <f t="shared" si="3"/>
        <v>0.76010835467130455</v>
      </c>
    </row>
    <row r="18" spans="1:14">
      <c r="A18" s="4">
        <v>49502</v>
      </c>
      <c r="B18" s="15">
        <v>1.0000444460492699</v>
      </c>
      <c r="C18" s="18">
        <v>0.76731290961514897</v>
      </c>
      <c r="D18" s="14">
        <v>0.75152104176393797</v>
      </c>
      <c r="E18" s="14">
        <v>0.73510721898047193</v>
      </c>
      <c r="F18" s="14">
        <v>0.7267541483607205</v>
      </c>
      <c r="G18" s="14">
        <v>0.71652666220632455</v>
      </c>
      <c r="H18" s="17">
        <v>0.73859675986976769</v>
      </c>
      <c r="I18" s="14">
        <f t="shared" si="4"/>
        <v>0.7673470136425351</v>
      </c>
      <c r="J18" s="14">
        <f t="shared" si="5"/>
        <v>0.75155444390518755</v>
      </c>
      <c r="K18" s="14">
        <f t="shared" si="6"/>
        <v>0.73513989159214543</v>
      </c>
      <c r="L18" s="14">
        <f t="shared" si="7"/>
        <v>0.7267864497114056</v>
      </c>
      <c r="M18" s="14">
        <f t="shared" si="8"/>
        <v>0.71655850898565621</v>
      </c>
      <c r="N18" s="14">
        <f t="shared" si="3"/>
        <v>0.73862958757774744</v>
      </c>
    </row>
    <row r="19" spans="1:14">
      <c r="A19" s="4">
        <v>49870</v>
      </c>
      <c r="B19" s="15">
        <v>1.0000444460492699</v>
      </c>
      <c r="C19" s="18">
        <v>0.7556677615963302</v>
      </c>
      <c r="D19" s="14">
        <v>0.73521416942903395</v>
      </c>
      <c r="E19" s="14">
        <v>0.71412620809547678</v>
      </c>
      <c r="F19" s="14">
        <v>0.70346333727621491</v>
      </c>
      <c r="G19" s="14">
        <v>0.6904668697762264</v>
      </c>
      <c r="H19" s="17">
        <v>0.71863740591193315</v>
      </c>
      <c r="I19" s="14">
        <f t="shared" si="4"/>
        <v>0.75570134804289379</v>
      </c>
      <c r="J19" s="14">
        <f t="shared" si="5"/>
        <v>0.73524684679423236</v>
      </c>
      <c r="K19" s="14">
        <f t="shared" si="6"/>
        <v>0.71415794818410672</v>
      </c>
      <c r="L19" s="14">
        <f t="shared" si="7"/>
        <v>0.70349460344236303</v>
      </c>
      <c r="M19" s="14">
        <f t="shared" si="8"/>
        <v>0.69049755830073967</v>
      </c>
      <c r="N19" s="14">
        <f t="shared" si="3"/>
        <v>0.71866934650548353</v>
      </c>
    </row>
    <row r="20" spans="1:14">
      <c r="A20" s="4">
        <v>50234</v>
      </c>
      <c r="B20" s="15">
        <v>1.0000444460492699</v>
      </c>
      <c r="C20" s="14">
        <v>0.74773372227965729</v>
      </c>
      <c r="D20" s="14">
        <v>0.72174489842650169</v>
      </c>
      <c r="E20" s="14">
        <v>0.69520315032899049</v>
      </c>
      <c r="F20" s="14">
        <v>0.68188342115982381</v>
      </c>
      <c r="G20" s="14">
        <v>0.66573503831134773</v>
      </c>
      <c r="H20" s="17">
        <v>0.700838160456415</v>
      </c>
      <c r="I20" s="14">
        <f t="shared" si="4"/>
        <v>0.74776695608951849</v>
      </c>
      <c r="J20" s="14">
        <f t="shared" si="5"/>
        <v>0.72177697713581745</v>
      </c>
      <c r="K20" s="14">
        <f t="shared" si="6"/>
        <v>0.69523404936246258</v>
      </c>
      <c r="L20" s="14">
        <f t="shared" si="7"/>
        <v>0.68191372818395701</v>
      </c>
      <c r="M20" s="14">
        <f t="shared" si="8"/>
        <v>0.66576462760366117</v>
      </c>
      <c r="N20" s="14">
        <f t="shared" si="3"/>
        <v>0.7008693099438249</v>
      </c>
    </row>
    <row r="21" spans="1:14">
      <c r="A21" s="4">
        <v>50598</v>
      </c>
      <c r="B21" s="15">
        <v>1.0000444460492699</v>
      </c>
      <c r="C21" s="14">
        <v>0.74285488365808783</v>
      </c>
      <c r="D21" s="14">
        <v>0.71039452568387995</v>
      </c>
      <c r="E21" s="14">
        <v>0.67760508271073383</v>
      </c>
      <c r="F21" s="14">
        <v>0.66129229738175832</v>
      </c>
      <c r="G21" s="14">
        <v>0.64163683680659178</v>
      </c>
      <c r="H21" s="17">
        <v>0.68446812486706743</v>
      </c>
      <c r="I21" s="14">
        <f t="shared" si="4"/>
        <v>0.74288790062284726</v>
      </c>
      <c r="J21" s="14">
        <f t="shared" si="5"/>
        <v>0.71042609991396954</v>
      </c>
      <c r="K21" s="14">
        <f t="shared" si="6"/>
        <v>0.67763519957962548</v>
      </c>
      <c r="L21" s="14">
        <f t="shared" si="7"/>
        <v>0.66132168921178958</v>
      </c>
      <c r="M21" s="14">
        <f t="shared" si="8"/>
        <v>0.64166535502905386</v>
      </c>
      <c r="N21" s="14">
        <f t="shared" si="3"/>
        <v>0.68449854677106892</v>
      </c>
    </row>
    <row r="22" spans="1:14">
      <c r="A22" s="4">
        <v>50963</v>
      </c>
      <c r="B22" s="15">
        <v>1.0000444460492699</v>
      </c>
      <c r="C22" s="14">
        <v>0.74138098585419288</v>
      </c>
      <c r="D22" s="14">
        <v>0.70142832252784604</v>
      </c>
      <c r="E22" s="14">
        <v>0.66157018263792378</v>
      </c>
      <c r="F22" s="14">
        <v>0.64193489552627814</v>
      </c>
      <c r="G22" s="14">
        <v>0.6184412883566528</v>
      </c>
      <c r="H22" s="17">
        <v>0.66981104102760358</v>
      </c>
      <c r="I22" s="14">
        <f t="shared" si="4"/>
        <v>0.74141393731001792</v>
      </c>
      <c r="J22" s="14">
        <f t="shared" si="5"/>
        <v>0.70145949824562837</v>
      </c>
      <c r="K22" s="14">
        <f t="shared" si="6"/>
        <v>0.66159958681885678</v>
      </c>
      <c r="L22" s="14">
        <f t="shared" si="7"/>
        <v>0.64196342699627273</v>
      </c>
      <c r="M22" s="14">
        <f t="shared" si="8"/>
        <v>0.61846877562862568</v>
      </c>
      <c r="N22" s="14">
        <f t="shared" si="3"/>
        <v>0.66984081148213459</v>
      </c>
    </row>
    <row r="23" spans="1:14">
      <c r="A23" s="4">
        <v>51329</v>
      </c>
      <c r="B23" s="15">
        <v>1.0000444460492699</v>
      </c>
      <c r="C23" s="14">
        <v>0.74324746270048714</v>
      </c>
      <c r="D23" s="14">
        <v>0.69471840090147829</v>
      </c>
      <c r="E23" s="14">
        <v>0.64697318814756033</v>
      </c>
      <c r="F23" s="14">
        <v>0.62370909879373115</v>
      </c>
      <c r="G23" s="14">
        <v>0.59609060806001057</v>
      </c>
      <c r="H23" s="17">
        <v>0.65673579124496839</v>
      </c>
      <c r="I23" s="14">
        <f t="shared" si="4"/>
        <v>0.74328049711383404</v>
      </c>
      <c r="J23" s="14">
        <f t="shared" si="5"/>
        <v>0.69474927838975342</v>
      </c>
      <c r="K23" s="14">
        <f t="shared" si="6"/>
        <v>0.64700194354975704</v>
      </c>
      <c r="L23" s="14">
        <f t="shared" si="7"/>
        <v>0.62373682019906618</v>
      </c>
      <c r="M23" s="14">
        <f t="shared" si="8"/>
        <v>0.59611710193254575</v>
      </c>
      <c r="N23" s="14">
        <f t="shared" si="3"/>
        <v>0.65676498055630339</v>
      </c>
    </row>
    <row r="24" spans="1:14">
      <c r="A24" s="4">
        <v>51694</v>
      </c>
      <c r="B24" s="15">
        <v>1.0000444460492699</v>
      </c>
      <c r="C24" s="14">
        <v>0.74821039054058169</v>
      </c>
      <c r="D24" s="14">
        <v>0.68994109948417459</v>
      </c>
      <c r="E24" s="14">
        <v>0.63348798767563186</v>
      </c>
      <c r="F24" s="14">
        <v>0.60631179431917714</v>
      </c>
      <c r="G24" s="14">
        <v>0.57432662251592481</v>
      </c>
      <c r="H24" s="17">
        <v>0.6449111569909729</v>
      </c>
      <c r="I24" s="14">
        <f t="shared" si="4"/>
        <v>0.74824364553646394</v>
      </c>
      <c r="J24" s="14">
        <f t="shared" si="5"/>
        <v>0.68997176464027554</v>
      </c>
      <c r="K24" s="14">
        <f t="shared" si="6"/>
        <v>0.63351614371394394</v>
      </c>
      <c r="L24" s="14">
        <f t="shared" si="7"/>
        <v>0.60633874248306041</v>
      </c>
      <c r="M24" s="14">
        <f t="shared" si="8"/>
        <v>0.5743521490652862</v>
      </c>
      <c r="N24" s="14">
        <f t="shared" si="3"/>
        <v>0.64493982074403122</v>
      </c>
    </row>
    <row r="25" spans="1:14">
      <c r="A25" s="4">
        <v>52061</v>
      </c>
      <c r="B25" s="15">
        <v>1.0000444460492699</v>
      </c>
      <c r="C25" s="14">
        <v>0.75618665595993106</v>
      </c>
      <c r="D25" s="14">
        <v>0.68692650543726186</v>
      </c>
      <c r="E25" s="14">
        <v>0.62094494527508237</v>
      </c>
      <c r="F25" s="14">
        <v>0.58959892886868281</v>
      </c>
      <c r="G25" s="14">
        <v>0.55305297887773519</v>
      </c>
      <c r="H25" s="17">
        <v>0.63424325968494244</v>
      </c>
      <c r="I25" s="14">
        <f t="shared" si="4"/>
        <v>0.7562202654692991</v>
      </c>
      <c r="J25" s="14">
        <f t="shared" si="5"/>
        <v>0.68695703660656737</v>
      </c>
      <c r="K25" s="14">
        <f t="shared" si="6"/>
        <v>0.62097254382471401</v>
      </c>
      <c r="L25" s="14">
        <f t="shared" si="7"/>
        <v>0.5896251342117248</v>
      </c>
      <c r="M25" s="14">
        <f t="shared" si="8"/>
        <v>0.55307755989768326</v>
      </c>
      <c r="N25" s="14">
        <f t="shared" si="3"/>
        <v>0.63427144929211154</v>
      </c>
    </row>
    <row r="26" spans="1:14">
      <c r="A26" s="4">
        <v>53885</v>
      </c>
      <c r="B26" s="15">
        <v>1.0000444460492699</v>
      </c>
      <c r="C26" s="14">
        <v>0.70395016514262077</v>
      </c>
      <c r="D26" s="14">
        <v>0.63947442490842754</v>
      </c>
      <c r="E26" s="14">
        <v>0.57805079384266678</v>
      </c>
      <c r="F26" s="14">
        <v>0.54887012363124033</v>
      </c>
      <c r="G26" s="14">
        <v>0.51484872517272962</v>
      </c>
      <c r="H26" s="17">
        <v>0.59042925412809355</v>
      </c>
      <c r="I26" s="14">
        <f t="shared" si="4"/>
        <v>0.70398145294634429</v>
      </c>
      <c r="J26" s="14">
        <f t="shared" si="5"/>
        <v>0.63950284702022386</v>
      </c>
      <c r="K26" s="14">
        <f t="shared" si="6"/>
        <v>0.57807648591673044</v>
      </c>
      <c r="L26" s="14">
        <f t="shared" si="7"/>
        <v>0.548894518739798</v>
      </c>
      <c r="M26" s="14">
        <f t="shared" si="8"/>
        <v>0.51487160816453514</v>
      </c>
      <c r="N26" s="14">
        <f t="shared" si="3"/>
        <v>0.59045549637581296</v>
      </c>
    </row>
    <row r="27" spans="1:14">
      <c r="A27" s="4">
        <v>55712</v>
      </c>
      <c r="B27" s="15">
        <v>1.0000444460492699</v>
      </c>
      <c r="C27" s="14">
        <v>0.70013854200923187</v>
      </c>
      <c r="D27" s="14">
        <v>0.63355319762609208</v>
      </c>
      <c r="E27" s="14">
        <v>0.54848383214053154</v>
      </c>
      <c r="F27" s="14">
        <v>0.50473769849985206</v>
      </c>
      <c r="G27" s="14">
        <v>0.44699706788337895</v>
      </c>
      <c r="H27" s="17">
        <v>0.55779469673686044</v>
      </c>
      <c r="I27" s="14">
        <f t="shared" si="4"/>
        <v>0.70016966040136575</v>
      </c>
      <c r="J27" s="14">
        <f t="shared" si="5"/>
        <v>0.63358135656272885</v>
      </c>
      <c r="K27" s="14">
        <f t="shared" si="6"/>
        <v>0.54850821007995865</v>
      </c>
      <c r="L27" s="14">
        <f t="shared" si="7"/>
        <v>0.50476013209646797</v>
      </c>
      <c r="M27" s="14">
        <f t="shared" si="8"/>
        <v>0.44701693513708157</v>
      </c>
      <c r="N27" s="14">
        <f t="shared" si="3"/>
        <v>0.55781948850743412</v>
      </c>
    </row>
    <row r="28" spans="1:14">
      <c r="A28" s="4">
        <v>57538</v>
      </c>
      <c r="B28" s="15">
        <v>1.0000444460492699</v>
      </c>
      <c r="C28" s="14">
        <v>0.70909909643937774</v>
      </c>
      <c r="D28" s="14">
        <v>0.6383641208853772</v>
      </c>
      <c r="E28" s="14">
        <v>0.52196821710684693</v>
      </c>
      <c r="F28" s="14">
        <v>0.4612024854200954</v>
      </c>
      <c r="G28" s="14">
        <v>0.37963232043930895</v>
      </c>
      <c r="H28" s="17">
        <v>0.52782259332972981</v>
      </c>
      <c r="I28" s="14">
        <f t="shared" si="4"/>
        <v>0.70913061309275538</v>
      </c>
      <c r="J28" s="14">
        <f t="shared" si="5"/>
        <v>0.63839249364854622</v>
      </c>
      <c r="K28" s="14">
        <f t="shared" si="6"/>
        <v>0.52199141653194181</v>
      </c>
      <c r="L28" s="14">
        <f t="shared" si="7"/>
        <v>0.46122298404848577</v>
      </c>
      <c r="M28" s="14">
        <f t="shared" si="8"/>
        <v>0.37964919359612764</v>
      </c>
      <c r="N28" s="14">
        <f t="shared" si="3"/>
        <v>0.52784605295871867</v>
      </c>
    </row>
    <row r="29" spans="1:14">
      <c r="A29" s="4">
        <v>59364</v>
      </c>
      <c r="B29" s="15">
        <v>1.0000444460492699</v>
      </c>
      <c r="C29" s="14">
        <v>0.73512195410647563</v>
      </c>
      <c r="D29" s="14">
        <v>0.65735141112532813</v>
      </c>
      <c r="E29" s="14">
        <v>0.50312217543527216</v>
      </c>
      <c r="F29" s="14">
        <v>0.41883834750228499</v>
      </c>
      <c r="G29" s="14">
        <v>0.310623728895628</v>
      </c>
      <c r="H29" s="17">
        <v>0.50106569279954849</v>
      </c>
      <c r="I29" s="14">
        <f t="shared" si="4"/>
        <v>0.73515462737306725</v>
      </c>
      <c r="J29" s="14">
        <f t="shared" si="5"/>
        <v>0.65738062779853468</v>
      </c>
      <c r="K29" s="14">
        <f t="shared" si="6"/>
        <v>0.50314453722827035</v>
      </c>
      <c r="L29" s="14">
        <f t="shared" si="7"/>
        <v>0.41885696321211419</v>
      </c>
      <c r="M29" s="14">
        <f t="shared" si="8"/>
        <v>0.31063753489318691</v>
      </c>
      <c r="N29" s="14">
        <f t="shared" si="3"/>
        <v>0.50108796319001814</v>
      </c>
    </row>
    <row r="30" spans="1:14">
      <c r="A30" s="4">
        <v>63017</v>
      </c>
      <c r="B30" s="15">
        <v>1.0000444460492699</v>
      </c>
      <c r="C30" s="14">
        <v>0.73246246953155403</v>
      </c>
      <c r="D30" s="14">
        <v>0.67568951639709252</v>
      </c>
      <c r="E30" s="14">
        <v>0.49808813301537902</v>
      </c>
      <c r="F30" s="14">
        <v>0.36659232040949696</v>
      </c>
      <c r="G30" s="14">
        <v>0.24061761401847501</v>
      </c>
      <c r="H30" s="17">
        <v>0.46000277084258262</v>
      </c>
      <c r="I30" s="14">
        <f t="shared" si="4"/>
        <v>0.73249502459456317</v>
      </c>
      <c r="J30" s="14">
        <f t="shared" si="5"/>
        <v>0.67571954812662949</v>
      </c>
      <c r="K30" s="14">
        <f t="shared" si="6"/>
        <v>0.49811027106507977</v>
      </c>
      <c r="L30" s="14">
        <f t="shared" si="7"/>
        <v>0.36660861398983186</v>
      </c>
      <c r="M30" s="14">
        <f t="shared" si="8"/>
        <v>0.24062830852080289</v>
      </c>
      <c r="N30" s="14">
        <f t="shared" si="3"/>
        <v>0.46002321614839981</v>
      </c>
    </row>
    <row r="31" spans="1:14">
      <c r="A31" s="4">
        <v>66669</v>
      </c>
      <c r="B31" s="15">
        <v>1.0000444460492699</v>
      </c>
      <c r="C31" s="14">
        <v>0.72725358827434938</v>
      </c>
      <c r="D31" s="14">
        <v>0.69402762166885701</v>
      </c>
      <c r="E31" s="14">
        <v>0.49305409059548599</v>
      </c>
      <c r="F31" s="14">
        <v>0.31434629331670899</v>
      </c>
      <c r="G31" s="14">
        <v>0.17061149914132198</v>
      </c>
      <c r="H31" s="17">
        <v>0.42168135874896218</v>
      </c>
      <c r="I31" s="14">
        <f t="shared" si="4"/>
        <v>0.72728591182316549</v>
      </c>
      <c r="J31" s="14">
        <f t="shared" si="5"/>
        <v>0.69405846845472441</v>
      </c>
      <c r="K31" s="14">
        <f t="shared" si="6"/>
        <v>0.49307600490188935</v>
      </c>
      <c r="L31" s="14">
        <f t="shared" si="7"/>
        <v>0.31436026476754958</v>
      </c>
      <c r="M31" s="14">
        <f t="shared" si="8"/>
        <v>0.17061908214841884</v>
      </c>
      <c r="N31" s="14">
        <f t="shared" si="3"/>
        <v>0.42170010081940934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Original</vt:lpstr>
      <vt:lpstr>SSP119</vt:lpstr>
      <vt:lpstr>SSP126</vt:lpstr>
      <vt:lpstr>SSP245</vt:lpstr>
      <vt:lpstr>SSP370</vt:lpstr>
      <vt:lpstr>SSP585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Cathy</cp:lastModifiedBy>
  <dcterms:created xsi:type="dcterms:W3CDTF">2022-07-30T07:14:58Z</dcterms:created>
  <dcterms:modified xsi:type="dcterms:W3CDTF">2022-09-27T07:26:40Z</dcterms:modified>
</cp:coreProperties>
</file>