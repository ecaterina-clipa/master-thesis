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thy\Documents\DOC\QF-UniBo\TESI\master-thesis\"/>
    </mc:Choice>
  </mc:AlternateContent>
  <xr:revisionPtr revIDLastSave="0" documentId="13_ncr:1_{E1329053-F891-4978-BB03-C03392E16E6F}" xr6:coauthVersionLast="47" xr6:coauthVersionMax="47" xr10:uidLastSave="{00000000-0000-0000-0000-000000000000}"/>
  <bookViews>
    <workbookView xWindow="-108" yWindow="-108" windowWidth="23256" windowHeight="12576" activeTab="6" xr2:uid="{00000000-000D-0000-FFFF-FFFF00000000}"/>
  </bookViews>
  <sheets>
    <sheet name="Original" sheetId="31" r:id="rId1"/>
    <sheet name="SSP119" sheetId="41" r:id="rId2"/>
    <sheet name="SSP126" sheetId="33" r:id="rId3"/>
    <sheet name="SSP245" sheetId="34" r:id="rId4"/>
    <sheet name="SSP370" sheetId="35" r:id="rId5"/>
    <sheet name="SSP585" sheetId="36" r:id="rId6"/>
    <sheet name="Scenarios" sheetId="29" r:id="rId7"/>
  </sheets>
  <functionGroups builtInGroupCount="19"/>
  <definedNames>
    <definedName name="solver_adj" localSheetId="1" hidden="1">'SSP119'!$G$3:$G$122</definedName>
    <definedName name="solver_adj" localSheetId="2" hidden="1">'SSP126'!$H$3:$H$122</definedName>
    <definedName name="solver_adj" localSheetId="3" hidden="1">'SSP245'!$H$3:$H$122</definedName>
    <definedName name="solver_adj" localSheetId="4" hidden="1">'SSP370'!$H$3:$H$122</definedName>
    <definedName name="solver_adj" localSheetId="5" hidden="1">'SSP585'!$H$3:$H$122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4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5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6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lhs1" localSheetId="1" hidden="1">'SSP119'!$K$2</definedName>
    <definedName name="solver_lhs1" localSheetId="2" hidden="1">'SSP126'!$L$2</definedName>
    <definedName name="solver_lhs1" localSheetId="3" hidden="1">'SSP245'!$L$2</definedName>
    <definedName name="solver_lhs1" localSheetId="4" hidden="1">'SSP370'!$L$2</definedName>
    <definedName name="solver_lhs1" localSheetId="5" hidden="1">'SSP585'!$L$2</definedName>
    <definedName name="solver_lhs2" localSheetId="1" hidden="1">'SSP119'!$K$42</definedName>
    <definedName name="solver_lhs2" localSheetId="2" hidden="1">'SSP126'!$L$42</definedName>
    <definedName name="solver_lhs2" localSheetId="3" hidden="1">'SSP245'!$L$42</definedName>
    <definedName name="solver_lhs2" localSheetId="4" hidden="1">'SSP370'!$L$42</definedName>
    <definedName name="solver_lhs2" localSheetId="5" hidden="1">'SSP585'!$L$42</definedName>
    <definedName name="solver_lhs3" localSheetId="1" hidden="1">'SSP119'!$K$82</definedName>
    <definedName name="solver_lhs3" localSheetId="2" hidden="1">'SSP126'!$L$82</definedName>
    <definedName name="solver_lhs3" localSheetId="3" hidden="1">'SSP245'!$L$82</definedName>
    <definedName name="solver_lhs3" localSheetId="4" hidden="1">'SSP370'!$L$82</definedName>
    <definedName name="solver_lhs3" localSheetId="5" hidden="1">'SSP585'!$L$82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neg" localSheetId="6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6" hidden="1">0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um" localSheetId="4" hidden="1">3</definedName>
    <definedName name="solver_num" localSheetId="5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6" hidden="1">Scenarios!$U$12</definedName>
    <definedName name="solver_opt" localSheetId="1" hidden="1">'SSP119'!$K$122</definedName>
    <definedName name="solver_opt" localSheetId="2" hidden="1">'SSP126'!$L$122</definedName>
    <definedName name="solver_opt" localSheetId="3" hidden="1">'SSP245'!$L$122</definedName>
    <definedName name="solver_opt" localSheetId="4" hidden="1">'SSP370'!$L$122</definedName>
    <definedName name="solver_opt" localSheetId="5" hidden="1">'SSP585'!$L$122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4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5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el1" localSheetId="1" hidden="1">2</definedName>
    <definedName name="solver_rel1" localSheetId="2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2" localSheetId="1" hidden="1">2</definedName>
    <definedName name="solver_rel2" localSheetId="2" hidden="1">2</definedName>
    <definedName name="solver_rel2" localSheetId="3" hidden="1">2</definedName>
    <definedName name="solver_rel2" localSheetId="4" hidden="1">2</definedName>
    <definedName name="solver_rel2" localSheetId="5" hidden="1">2</definedName>
    <definedName name="solver_rel3" localSheetId="1" hidden="1">2</definedName>
    <definedName name="solver_rel3" localSheetId="2" hidden="1">2</definedName>
    <definedName name="solver_rel3" localSheetId="3" hidden="1">2</definedName>
    <definedName name="solver_rel3" localSheetId="4" hidden="1">2</definedName>
    <definedName name="solver_rel3" localSheetId="5" hidden="1">2</definedName>
    <definedName name="solver_rhs1" localSheetId="1" hidden="1">1</definedName>
    <definedName name="solver_rhs1" localSheetId="2" hidden="1">1</definedName>
    <definedName name="solver_rhs1" localSheetId="3" hidden="1">1</definedName>
    <definedName name="solver_rhs1" localSheetId="4" hidden="1">1</definedName>
    <definedName name="solver_rhs1" localSheetId="5" hidden="1">1</definedName>
    <definedName name="solver_rhs2" localSheetId="1" hidden="1">'SSP119'!$L$42</definedName>
    <definedName name="solver_rhs2" localSheetId="2" hidden="1">'SSP126'!$M$42</definedName>
    <definedName name="solver_rhs2" localSheetId="3" hidden="1">'SSP245'!$M$42</definedName>
    <definedName name="solver_rhs2" localSheetId="4" hidden="1">'SSP370'!$M$42</definedName>
    <definedName name="solver_rhs2" localSheetId="5" hidden="1">'SSP585'!$M$42</definedName>
    <definedName name="solver_rhs3" localSheetId="1" hidden="1">'SSP119'!$L$82</definedName>
    <definedName name="solver_rhs3" localSheetId="2" hidden="1">'SSP126'!$M$82</definedName>
    <definedName name="solver_rhs3" localSheetId="3" hidden="1">'SSP245'!$M$82</definedName>
    <definedName name="solver_rhs3" localSheetId="4" hidden="1">'SSP370'!$M$82</definedName>
    <definedName name="solver_rhs3" localSheetId="5" hidden="1">'SSP585'!$M$82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1" hidden="1">1</definedName>
    <definedName name="solver_tol" localSheetId="2" hidden="1">1</definedName>
    <definedName name="solver_tol" localSheetId="3" hidden="1">1</definedName>
    <definedName name="solver_tol" localSheetId="4" hidden="1">1</definedName>
    <definedName name="solver_tol" localSheetId="5" hidden="1">1</definedName>
    <definedName name="solver_typ" localSheetId="6" hidden="1">1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val" localSheetId="6" hidden="1">0</definedName>
    <definedName name="solver_val" localSheetId="1" hidden="1">0.422861304893106</definedName>
    <definedName name="solver_val" localSheetId="2" hidden="1">0.423706144489227</definedName>
    <definedName name="solver_val" localSheetId="3" hidden="1">0.425061400108839</definedName>
    <definedName name="solver_val" localSheetId="4" hidden="1">0.426931957470248</definedName>
    <definedName name="solver_val" localSheetId="5" hidden="1">0.428468534626517</definedName>
    <definedName name="solver_ver" localSheetId="6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1" i="29" l="1"/>
  <c r="O30" i="29"/>
  <c r="O29" i="29"/>
  <c r="O28" i="29"/>
  <c r="O27" i="29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O13" i="29"/>
  <c r="O12" i="29"/>
  <c r="O11" i="29"/>
  <c r="O10" i="29"/>
  <c r="O9" i="29"/>
  <c r="O8" i="29"/>
  <c r="O7" i="29"/>
  <c r="O6" i="29"/>
  <c r="O5" i="29"/>
  <c r="O4" i="29"/>
  <c r="O3" i="29"/>
  <c r="K3" i="29"/>
  <c r="L3" i="29"/>
  <c r="M3" i="29"/>
  <c r="N3" i="29"/>
  <c r="J3" i="29"/>
  <c r="K8" i="29"/>
  <c r="L8" i="29"/>
  <c r="M8" i="29"/>
  <c r="N8" i="29"/>
  <c r="K9" i="29"/>
  <c r="L9" i="29"/>
  <c r="M9" i="29"/>
  <c r="N9" i="29"/>
  <c r="K10" i="29"/>
  <c r="L10" i="29"/>
  <c r="M10" i="29"/>
  <c r="N10" i="29"/>
  <c r="K11" i="29"/>
  <c r="L11" i="29"/>
  <c r="M11" i="29"/>
  <c r="N11" i="29"/>
  <c r="K12" i="29"/>
  <c r="L12" i="29"/>
  <c r="M12" i="29"/>
  <c r="N12" i="29"/>
  <c r="K13" i="29"/>
  <c r="L13" i="29"/>
  <c r="M13" i="29"/>
  <c r="N13" i="29"/>
  <c r="K14" i="29"/>
  <c r="L14" i="29"/>
  <c r="M14" i="29"/>
  <c r="N14" i="29"/>
  <c r="K15" i="29"/>
  <c r="L15" i="29"/>
  <c r="M15" i="29"/>
  <c r="N15" i="29"/>
  <c r="K16" i="29"/>
  <c r="L16" i="29"/>
  <c r="M16" i="29"/>
  <c r="N16" i="29"/>
  <c r="K17" i="29"/>
  <c r="L17" i="29"/>
  <c r="M17" i="29"/>
  <c r="N17" i="29"/>
  <c r="K18" i="29"/>
  <c r="L18" i="29"/>
  <c r="M18" i="29"/>
  <c r="N18" i="29"/>
  <c r="K19" i="29"/>
  <c r="L19" i="29"/>
  <c r="M19" i="29"/>
  <c r="N19" i="29"/>
  <c r="K20" i="29"/>
  <c r="L20" i="29"/>
  <c r="M20" i="29"/>
  <c r="N20" i="29"/>
  <c r="K21" i="29"/>
  <c r="L21" i="29"/>
  <c r="M21" i="29"/>
  <c r="N21" i="29"/>
  <c r="K22" i="29"/>
  <c r="L22" i="29"/>
  <c r="M22" i="29"/>
  <c r="N22" i="29"/>
  <c r="K23" i="29"/>
  <c r="L23" i="29"/>
  <c r="M23" i="29"/>
  <c r="N23" i="29"/>
  <c r="K24" i="29"/>
  <c r="L24" i="29"/>
  <c r="M24" i="29"/>
  <c r="N24" i="29"/>
  <c r="K25" i="29"/>
  <c r="L25" i="29"/>
  <c r="M25" i="29"/>
  <c r="N25" i="29"/>
  <c r="K26" i="29"/>
  <c r="L26" i="29"/>
  <c r="M26" i="29"/>
  <c r="N26" i="29"/>
  <c r="K27" i="29"/>
  <c r="L27" i="29"/>
  <c r="M27" i="29"/>
  <c r="N27" i="29"/>
  <c r="K28" i="29"/>
  <c r="L28" i="29"/>
  <c r="M28" i="29"/>
  <c r="N28" i="29"/>
  <c r="K29" i="29"/>
  <c r="L29" i="29"/>
  <c r="M29" i="29"/>
  <c r="N29" i="29"/>
  <c r="K30" i="29"/>
  <c r="L30" i="29"/>
  <c r="M30" i="29"/>
  <c r="N30" i="29"/>
  <c r="K31" i="29"/>
  <c r="L31" i="29"/>
  <c r="M31" i="29"/>
  <c r="N31" i="29"/>
  <c r="K3" i="36"/>
  <c r="K4" i="36" s="1"/>
  <c r="K5" i="36" s="1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K29" i="36" s="1"/>
  <c r="K30" i="36" s="1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K70" i="36" s="1"/>
  <c r="K71" i="36" s="1"/>
  <c r="K72" i="36" s="1"/>
  <c r="K73" i="36" s="1"/>
  <c r="K74" i="36" s="1"/>
  <c r="K75" i="36" s="1"/>
  <c r="K76" i="36" s="1"/>
  <c r="K77" i="36" s="1"/>
  <c r="K78" i="36" s="1"/>
  <c r="K79" i="36" s="1"/>
  <c r="K80" i="36" s="1"/>
  <c r="K81" i="36" s="1"/>
  <c r="K82" i="36" s="1"/>
  <c r="K83" i="36" s="1"/>
  <c r="K84" i="36" s="1"/>
  <c r="K85" i="36" s="1"/>
  <c r="K86" i="36" s="1"/>
  <c r="K87" i="36" s="1"/>
  <c r="K88" i="36" s="1"/>
  <c r="K89" i="36" s="1"/>
  <c r="K90" i="36" s="1"/>
  <c r="K91" i="36" s="1"/>
  <c r="K92" i="36" s="1"/>
  <c r="K93" i="36" s="1"/>
  <c r="K94" i="36" s="1"/>
  <c r="K95" i="36" s="1"/>
  <c r="K96" i="36" s="1"/>
  <c r="K97" i="36" s="1"/>
  <c r="K98" i="36" s="1"/>
  <c r="K99" i="36" s="1"/>
  <c r="K100" i="36" s="1"/>
  <c r="K101" i="36" s="1"/>
  <c r="K102" i="36" s="1"/>
  <c r="K103" i="36" s="1"/>
  <c r="K104" i="36" s="1"/>
  <c r="K105" i="36" s="1"/>
  <c r="K106" i="36" s="1"/>
  <c r="K107" i="36" s="1"/>
  <c r="K108" i="36" s="1"/>
  <c r="K109" i="36" s="1"/>
  <c r="K110" i="36" s="1"/>
  <c r="K111" i="36" s="1"/>
  <c r="K112" i="36" s="1"/>
  <c r="K113" i="36" s="1"/>
  <c r="K114" i="36" s="1"/>
  <c r="K115" i="36" s="1"/>
  <c r="K116" i="36" s="1"/>
  <c r="K117" i="36" s="1"/>
  <c r="K118" i="36" s="1"/>
  <c r="K119" i="36" s="1"/>
  <c r="K120" i="36" s="1"/>
  <c r="K121" i="36" s="1"/>
  <c r="K3" i="35"/>
  <c r="K4" i="35" s="1"/>
  <c r="K5" i="35" s="1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K90" i="35" s="1"/>
  <c r="K91" i="35" s="1"/>
  <c r="K92" i="35" s="1"/>
  <c r="K93" i="35" s="1"/>
  <c r="K94" i="35" s="1"/>
  <c r="K95" i="35" s="1"/>
  <c r="K96" i="35" s="1"/>
  <c r="K97" i="35" s="1"/>
  <c r="K98" i="35" s="1"/>
  <c r="K99" i="35" s="1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K113" i="35" s="1"/>
  <c r="K114" i="35" s="1"/>
  <c r="K115" i="35" s="1"/>
  <c r="K116" i="35" s="1"/>
  <c r="K117" i="35" s="1"/>
  <c r="K118" i="35" s="1"/>
  <c r="K119" i="35" s="1"/>
  <c r="K120" i="35" s="1"/>
  <c r="K121" i="35" s="1"/>
  <c r="K3" i="34"/>
  <c r="K4" i="34" s="1"/>
  <c r="K5" i="34" s="1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K90" i="34" s="1"/>
  <c r="K91" i="34" s="1"/>
  <c r="K92" i="34" s="1"/>
  <c r="K93" i="34" s="1"/>
  <c r="K94" i="34" s="1"/>
  <c r="K95" i="34" s="1"/>
  <c r="K96" i="34" s="1"/>
  <c r="K97" i="34" s="1"/>
  <c r="K98" i="34" s="1"/>
  <c r="K99" i="34" s="1"/>
  <c r="K100" i="34" s="1"/>
  <c r="K101" i="34" s="1"/>
  <c r="K102" i="34" s="1"/>
  <c r="K103" i="34" s="1"/>
  <c r="K104" i="34" s="1"/>
  <c r="K105" i="34" s="1"/>
  <c r="K106" i="34" s="1"/>
  <c r="K107" i="34" s="1"/>
  <c r="K108" i="34" s="1"/>
  <c r="K109" i="34" s="1"/>
  <c r="K110" i="34" s="1"/>
  <c r="K111" i="34" s="1"/>
  <c r="K112" i="34" s="1"/>
  <c r="K113" i="34" s="1"/>
  <c r="K114" i="34" s="1"/>
  <c r="K115" i="34" s="1"/>
  <c r="K116" i="34" s="1"/>
  <c r="K117" i="34" s="1"/>
  <c r="K118" i="34" s="1"/>
  <c r="K119" i="34" s="1"/>
  <c r="K120" i="34" s="1"/>
  <c r="K121" i="34" s="1"/>
  <c r="R101" i="33" a="1"/>
  <c r="K122" i="36" l="1"/>
  <c r="K122" i="35"/>
  <c r="K122" i="34"/>
  <c r="R101" i="33"/>
  <c r="K3" i="33"/>
  <c r="K4" i="33" s="1"/>
  <c r="K5" i="33" s="1"/>
  <c r="K6" i="33" s="1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K99" i="33" s="1"/>
  <c r="K100" i="33" s="1"/>
  <c r="K101" i="33" s="1"/>
  <c r="K102" i="33" s="1"/>
  <c r="K103" i="33" s="1"/>
  <c r="K104" i="33" s="1"/>
  <c r="K105" i="33" s="1"/>
  <c r="K106" i="33" s="1"/>
  <c r="K107" i="33" s="1"/>
  <c r="K108" i="33" s="1"/>
  <c r="K109" i="33" s="1"/>
  <c r="K110" i="33" s="1"/>
  <c r="K111" i="33" s="1"/>
  <c r="K112" i="33" s="1"/>
  <c r="K113" i="33" s="1"/>
  <c r="K114" i="33" s="1"/>
  <c r="K115" i="33" s="1"/>
  <c r="K116" i="33" s="1"/>
  <c r="K117" i="33" s="1"/>
  <c r="K118" i="33" s="1"/>
  <c r="K119" i="33" s="1"/>
  <c r="K120" i="33" s="1"/>
  <c r="K121" i="33" s="1"/>
  <c r="J8" i="29"/>
  <c r="J9" i="29"/>
  <c r="J10" i="29"/>
  <c r="J11" i="29"/>
  <c r="J12" i="29"/>
  <c r="J13" i="29"/>
  <c r="J14" i="29"/>
  <c r="J15" i="29"/>
  <c r="J16" i="29"/>
  <c r="J17" i="29"/>
  <c r="J18" i="29"/>
  <c r="J19" i="29"/>
  <c r="J20" i="29"/>
  <c r="J21" i="29"/>
  <c r="J22" i="29"/>
  <c r="J23" i="29"/>
  <c r="J24" i="29"/>
  <c r="J25" i="29"/>
  <c r="J26" i="29"/>
  <c r="J27" i="29"/>
  <c r="J28" i="29"/>
  <c r="J29" i="29"/>
  <c r="J30" i="29"/>
  <c r="J31" i="29"/>
  <c r="J3" i="41"/>
  <c r="J4" i="41" s="1"/>
  <c r="J5" i="41" s="1"/>
  <c r="J6" i="41" s="1"/>
  <c r="J7" i="41" s="1"/>
  <c r="J8" i="41" s="1"/>
  <c r="J9" i="41" s="1"/>
  <c r="J10" i="41" s="1"/>
  <c r="J11" i="41" s="1"/>
  <c r="J12" i="41" s="1"/>
  <c r="J13" i="41" s="1"/>
  <c r="J14" i="41" s="1"/>
  <c r="J15" i="41" s="1"/>
  <c r="J16" i="41" s="1"/>
  <c r="J17" i="41" s="1"/>
  <c r="J18" i="41" s="1"/>
  <c r="J19" i="41" s="1"/>
  <c r="J20" i="41" s="1"/>
  <c r="J21" i="41" s="1"/>
  <c r="J22" i="41" s="1"/>
  <c r="J23" i="41" s="1"/>
  <c r="J24" i="41" s="1"/>
  <c r="J25" i="41" s="1"/>
  <c r="J26" i="41" s="1"/>
  <c r="J27" i="41" s="1"/>
  <c r="J28" i="41" s="1"/>
  <c r="J29" i="41" s="1"/>
  <c r="J30" i="41" s="1"/>
  <c r="J31" i="41" s="1"/>
  <c r="J32" i="41" s="1"/>
  <c r="J33" i="41" s="1"/>
  <c r="J34" i="41" s="1"/>
  <c r="J35" i="41" s="1"/>
  <c r="J36" i="41" s="1"/>
  <c r="J37" i="41" s="1"/>
  <c r="J38" i="41" s="1"/>
  <c r="J39" i="41" s="1"/>
  <c r="J40" i="41" s="1"/>
  <c r="J41" i="41" s="1"/>
  <c r="J42" i="41" s="1"/>
  <c r="J43" i="41" s="1"/>
  <c r="J44" i="41" s="1"/>
  <c r="J45" i="41" s="1"/>
  <c r="J46" i="41" s="1"/>
  <c r="J47" i="41" s="1"/>
  <c r="J48" i="41" s="1"/>
  <c r="J49" i="41" s="1"/>
  <c r="J50" i="41" s="1"/>
  <c r="J51" i="41" s="1"/>
  <c r="J52" i="41" s="1"/>
  <c r="J53" i="41" s="1"/>
  <c r="J54" i="41" s="1"/>
  <c r="J55" i="41" s="1"/>
  <c r="J56" i="41" s="1"/>
  <c r="J57" i="41" s="1"/>
  <c r="J58" i="41" s="1"/>
  <c r="J59" i="41" s="1"/>
  <c r="J60" i="41" s="1"/>
  <c r="J61" i="41" s="1"/>
  <c r="J62" i="41" s="1"/>
  <c r="J63" i="41" s="1"/>
  <c r="J64" i="41" s="1"/>
  <c r="J65" i="41" s="1"/>
  <c r="J66" i="41" s="1"/>
  <c r="J67" i="41" s="1"/>
  <c r="J68" i="41" s="1"/>
  <c r="J69" i="41" s="1"/>
  <c r="J70" i="41" s="1"/>
  <c r="J71" i="41" s="1"/>
  <c r="J72" i="41" s="1"/>
  <c r="J73" i="41" s="1"/>
  <c r="J74" i="41" s="1"/>
  <c r="J75" i="41" s="1"/>
  <c r="J76" i="41" s="1"/>
  <c r="J77" i="41" s="1"/>
  <c r="J78" i="41" s="1"/>
  <c r="J79" i="41" s="1"/>
  <c r="J80" i="41" s="1"/>
  <c r="J81" i="41" s="1"/>
  <c r="J82" i="41" s="1"/>
  <c r="J83" i="41" s="1"/>
  <c r="J84" i="41" s="1"/>
  <c r="J85" i="41" s="1"/>
  <c r="J86" i="41" s="1"/>
  <c r="J87" i="41" s="1"/>
  <c r="J88" i="41" s="1"/>
  <c r="J89" i="41" s="1"/>
  <c r="J90" i="41" s="1"/>
  <c r="J91" i="41" s="1"/>
  <c r="J92" i="41" s="1"/>
  <c r="J93" i="41" s="1"/>
  <c r="J94" i="41" s="1"/>
  <c r="J95" i="41" s="1"/>
  <c r="J96" i="41" s="1"/>
  <c r="J97" i="41" s="1"/>
  <c r="J98" i="41" s="1"/>
  <c r="J99" i="41" s="1"/>
  <c r="J100" i="41" s="1"/>
  <c r="J101" i="41" s="1"/>
  <c r="J102" i="41" s="1"/>
  <c r="J103" i="41" s="1"/>
  <c r="J104" i="41" s="1"/>
  <c r="J105" i="41" s="1"/>
  <c r="J106" i="41" s="1"/>
  <c r="J107" i="41" s="1"/>
  <c r="J108" i="41" s="1"/>
  <c r="J109" i="41" s="1"/>
  <c r="J110" i="41" s="1"/>
  <c r="J111" i="41" s="1"/>
  <c r="J112" i="41" s="1"/>
  <c r="J113" i="41" s="1"/>
  <c r="J114" i="41" s="1"/>
  <c r="J115" i="41" s="1"/>
  <c r="J116" i="41" s="1"/>
  <c r="J117" i="41" s="1"/>
  <c r="J118" i="41" s="1"/>
  <c r="J119" i="41" s="1"/>
  <c r="J120" i="41" s="1"/>
  <c r="J121" i="41" s="1"/>
  <c r="P86" i="41"/>
  <c r="P87" i="41"/>
  <c r="K122" i="33" l="1"/>
  <c r="J122" i="41"/>
  <c r="J3" i="31"/>
  <c r="J4" i="31" s="1"/>
  <c r="J4" i="29" l="1"/>
  <c r="K4" i="29"/>
  <c r="L4" i="29"/>
  <c r="M4" i="29"/>
  <c r="N4" i="29"/>
  <c r="J5" i="29"/>
  <c r="K5" i="29"/>
  <c r="L5" i="29"/>
  <c r="M5" i="29"/>
  <c r="N5" i="29"/>
  <c r="J6" i="29"/>
  <c r="K6" i="29"/>
  <c r="L6" i="29"/>
  <c r="M6" i="29"/>
  <c r="N6" i="29"/>
  <c r="J7" i="29"/>
  <c r="K7" i="29"/>
  <c r="L7" i="29"/>
  <c r="M7" i="29"/>
  <c r="N7" i="29"/>
  <c r="Q100" i="35"/>
  <c r="Q99" i="35"/>
  <c r="Q100" i="36"/>
  <c r="Q99" i="36"/>
  <c r="R100" i="34"/>
  <c r="R99" i="34"/>
  <c r="R99" i="33"/>
  <c r="R98" i="33"/>
  <c r="Q103" i="36" a="1"/>
  <c r="R103" i="34" a="1"/>
  <c r="R102" i="33" a="1"/>
  <c r="Q103" i="35" a="1"/>
  <c r="Q103" i="36" l="1"/>
  <c r="L122" i="36" s="1"/>
  <c r="L121" i="36" s="1"/>
  <c r="L120" i="36" s="1"/>
  <c r="L119" i="36" s="1"/>
  <c r="L118" i="36" s="1"/>
  <c r="L117" i="36" s="1"/>
  <c r="L116" i="36" s="1"/>
  <c r="L115" i="36" s="1"/>
  <c r="L114" i="36" s="1"/>
  <c r="L113" i="36" s="1"/>
  <c r="L112" i="36" s="1"/>
  <c r="L111" i="36" s="1"/>
  <c r="L110" i="36" s="1"/>
  <c r="L109" i="36" s="1"/>
  <c r="L108" i="36" s="1"/>
  <c r="L107" i="36" s="1"/>
  <c r="L106" i="36" s="1"/>
  <c r="L105" i="36" s="1"/>
  <c r="L104" i="36" s="1"/>
  <c r="L103" i="36" s="1"/>
  <c r="L102" i="36" s="1"/>
  <c r="L101" i="36" s="1"/>
  <c r="L100" i="36" s="1"/>
  <c r="L99" i="36" s="1"/>
  <c r="L98" i="36" s="1"/>
  <c r="L97" i="36" s="1"/>
  <c r="L96" i="36" s="1"/>
  <c r="L95" i="36" s="1"/>
  <c r="L94" i="36" s="1"/>
  <c r="L93" i="36" s="1"/>
  <c r="L92" i="36" s="1"/>
  <c r="L91" i="36" s="1"/>
  <c r="L90" i="36" s="1"/>
  <c r="L89" i="36" s="1"/>
  <c r="L88" i="36" s="1"/>
  <c r="L87" i="36" s="1"/>
  <c r="L86" i="36" s="1"/>
  <c r="L85" i="36" s="1"/>
  <c r="L84" i="36" s="1"/>
  <c r="L83" i="36" s="1"/>
  <c r="L82" i="36" s="1"/>
  <c r="L81" i="36" s="1"/>
  <c r="L80" i="36" s="1"/>
  <c r="L79" i="36" s="1"/>
  <c r="L78" i="36" s="1"/>
  <c r="L77" i="36" s="1"/>
  <c r="L76" i="36" s="1"/>
  <c r="L75" i="36" s="1"/>
  <c r="L74" i="36" s="1"/>
  <c r="L73" i="36" s="1"/>
  <c r="L72" i="36" s="1"/>
  <c r="L71" i="36" s="1"/>
  <c r="L70" i="36" s="1"/>
  <c r="L69" i="36" s="1"/>
  <c r="L68" i="36" s="1"/>
  <c r="L67" i="36" s="1"/>
  <c r="L66" i="36" s="1"/>
  <c r="L65" i="36" s="1"/>
  <c r="L64" i="36" s="1"/>
  <c r="L63" i="36" s="1"/>
  <c r="L62" i="36" s="1"/>
  <c r="L61" i="36" s="1"/>
  <c r="L60" i="36" s="1"/>
  <c r="L59" i="36" s="1"/>
  <c r="L58" i="36" s="1"/>
  <c r="L57" i="36" s="1"/>
  <c r="L56" i="36" s="1"/>
  <c r="L55" i="36" s="1"/>
  <c r="L54" i="36" s="1"/>
  <c r="L53" i="36" s="1"/>
  <c r="L52" i="36" s="1"/>
  <c r="L51" i="36" s="1"/>
  <c r="L50" i="36" s="1"/>
  <c r="L49" i="36" s="1"/>
  <c r="L48" i="36" s="1"/>
  <c r="L47" i="36" s="1"/>
  <c r="L46" i="36" s="1"/>
  <c r="L45" i="36" s="1"/>
  <c r="L44" i="36" s="1"/>
  <c r="L43" i="36" s="1"/>
  <c r="L42" i="36" s="1"/>
  <c r="L41" i="36" s="1"/>
  <c r="L40" i="36" s="1"/>
  <c r="L39" i="36" s="1"/>
  <c r="L38" i="36" s="1"/>
  <c r="L37" i="36" s="1"/>
  <c r="L36" i="36" s="1"/>
  <c r="L35" i="36" s="1"/>
  <c r="L34" i="36" s="1"/>
  <c r="L33" i="36" s="1"/>
  <c r="L32" i="36" s="1"/>
  <c r="L31" i="36" s="1"/>
  <c r="L30" i="36" s="1"/>
  <c r="L29" i="36" s="1"/>
  <c r="L28" i="36" s="1"/>
  <c r="L27" i="36" s="1"/>
  <c r="L26" i="36" s="1"/>
  <c r="L25" i="36" s="1"/>
  <c r="L24" i="36" s="1"/>
  <c r="L23" i="36" s="1"/>
  <c r="L22" i="36" s="1"/>
  <c r="L21" i="36" s="1"/>
  <c r="L20" i="36" s="1"/>
  <c r="L19" i="36" s="1"/>
  <c r="L18" i="36" s="1"/>
  <c r="L17" i="36" s="1"/>
  <c r="L16" i="36" s="1"/>
  <c r="L15" i="36" s="1"/>
  <c r="L14" i="36" s="1"/>
  <c r="L13" i="36" s="1"/>
  <c r="L12" i="36" s="1"/>
  <c r="L11" i="36" s="1"/>
  <c r="L10" i="36" s="1"/>
  <c r="L9" i="36" s="1"/>
  <c r="L8" i="36" s="1"/>
  <c r="L7" i="36" s="1"/>
  <c r="L6" i="36" s="1"/>
  <c r="L5" i="36" s="1"/>
  <c r="L4" i="36" s="1"/>
  <c r="L3" i="36" s="1"/>
  <c r="L2" i="36" s="1"/>
  <c r="Q103" i="35"/>
  <c r="L122" i="35" s="1"/>
  <c r="L121" i="35" s="1"/>
  <c r="L120" i="35" s="1"/>
  <c r="L119" i="35" s="1"/>
  <c r="L118" i="35" s="1"/>
  <c r="L117" i="35" s="1"/>
  <c r="L116" i="35" s="1"/>
  <c r="L115" i="35" s="1"/>
  <c r="L114" i="35" s="1"/>
  <c r="L113" i="35" s="1"/>
  <c r="L112" i="35" s="1"/>
  <c r="L111" i="35" s="1"/>
  <c r="L110" i="35" s="1"/>
  <c r="L109" i="35" s="1"/>
  <c r="L108" i="35" s="1"/>
  <c r="L107" i="35" s="1"/>
  <c r="L106" i="35" s="1"/>
  <c r="L105" i="35" s="1"/>
  <c r="L104" i="35" s="1"/>
  <c r="L103" i="35" s="1"/>
  <c r="L102" i="35" s="1"/>
  <c r="L101" i="35" s="1"/>
  <c r="L100" i="35" s="1"/>
  <c r="L99" i="35" s="1"/>
  <c r="L98" i="35" s="1"/>
  <c r="L97" i="35" s="1"/>
  <c r="L96" i="35" s="1"/>
  <c r="L95" i="35" s="1"/>
  <c r="L94" i="35" s="1"/>
  <c r="L93" i="35" s="1"/>
  <c r="L92" i="35" s="1"/>
  <c r="L91" i="35" s="1"/>
  <c r="L90" i="35" s="1"/>
  <c r="L89" i="35" s="1"/>
  <c r="L88" i="35" s="1"/>
  <c r="L87" i="35" s="1"/>
  <c r="L86" i="35" s="1"/>
  <c r="L85" i="35" s="1"/>
  <c r="L84" i="35" s="1"/>
  <c r="L83" i="35" s="1"/>
  <c r="L82" i="35" s="1"/>
  <c r="L81" i="35" s="1"/>
  <c r="L80" i="35" s="1"/>
  <c r="L79" i="35" s="1"/>
  <c r="L78" i="35" s="1"/>
  <c r="L77" i="35" s="1"/>
  <c r="L76" i="35" s="1"/>
  <c r="L75" i="35" s="1"/>
  <c r="L74" i="35" s="1"/>
  <c r="L73" i="35" s="1"/>
  <c r="L72" i="35" s="1"/>
  <c r="L71" i="35" s="1"/>
  <c r="L70" i="35" s="1"/>
  <c r="L69" i="35" s="1"/>
  <c r="L68" i="35" s="1"/>
  <c r="L67" i="35" s="1"/>
  <c r="L66" i="35" s="1"/>
  <c r="L65" i="35" s="1"/>
  <c r="L64" i="35" s="1"/>
  <c r="L63" i="35" s="1"/>
  <c r="L62" i="35" s="1"/>
  <c r="L61" i="35" s="1"/>
  <c r="L60" i="35" s="1"/>
  <c r="L59" i="35" s="1"/>
  <c r="L58" i="35" s="1"/>
  <c r="L57" i="35" s="1"/>
  <c r="L56" i="35" s="1"/>
  <c r="L55" i="35" s="1"/>
  <c r="L54" i="35" s="1"/>
  <c r="L53" i="35" s="1"/>
  <c r="L52" i="35" s="1"/>
  <c r="L51" i="35" s="1"/>
  <c r="L50" i="35" s="1"/>
  <c r="L49" i="35" s="1"/>
  <c r="L48" i="35" s="1"/>
  <c r="L47" i="35" s="1"/>
  <c r="L46" i="35" s="1"/>
  <c r="L45" i="35" s="1"/>
  <c r="L44" i="35" s="1"/>
  <c r="L43" i="35" s="1"/>
  <c r="L42" i="35" s="1"/>
  <c r="L41" i="35" s="1"/>
  <c r="L40" i="35" s="1"/>
  <c r="L39" i="35" s="1"/>
  <c r="L38" i="35" s="1"/>
  <c r="L37" i="35" s="1"/>
  <c r="L36" i="35" s="1"/>
  <c r="L35" i="35" s="1"/>
  <c r="L34" i="35" s="1"/>
  <c r="L33" i="35" s="1"/>
  <c r="L32" i="35" s="1"/>
  <c r="L31" i="35" s="1"/>
  <c r="L30" i="35" s="1"/>
  <c r="L29" i="35" s="1"/>
  <c r="L28" i="35" s="1"/>
  <c r="L27" i="35" s="1"/>
  <c r="L26" i="35" s="1"/>
  <c r="L25" i="35" s="1"/>
  <c r="L24" i="35" s="1"/>
  <c r="L23" i="35" s="1"/>
  <c r="L22" i="35" s="1"/>
  <c r="L21" i="35" s="1"/>
  <c r="L20" i="35" s="1"/>
  <c r="L19" i="35" s="1"/>
  <c r="L18" i="35" s="1"/>
  <c r="L17" i="35" s="1"/>
  <c r="L16" i="35" s="1"/>
  <c r="L15" i="35" s="1"/>
  <c r="L14" i="35" s="1"/>
  <c r="L13" i="35" s="1"/>
  <c r="L12" i="35" s="1"/>
  <c r="L11" i="35" s="1"/>
  <c r="L10" i="35" s="1"/>
  <c r="L9" i="35" s="1"/>
  <c r="L8" i="35" s="1"/>
  <c r="L7" i="35" s="1"/>
  <c r="L6" i="35" s="1"/>
  <c r="L5" i="35" s="1"/>
  <c r="L4" i="35" s="1"/>
  <c r="L3" i="35" s="1"/>
  <c r="L2" i="35" s="1"/>
  <c r="R103" i="34"/>
  <c r="L122" i="34" s="1"/>
  <c r="L121" i="34" s="1"/>
  <c r="L120" i="34" s="1"/>
  <c r="L119" i="34" s="1"/>
  <c r="L118" i="34" s="1"/>
  <c r="L117" i="34" s="1"/>
  <c r="L116" i="34" s="1"/>
  <c r="L115" i="34" s="1"/>
  <c r="L114" i="34" s="1"/>
  <c r="L113" i="34" s="1"/>
  <c r="L112" i="34" s="1"/>
  <c r="L111" i="34" s="1"/>
  <c r="L110" i="34" s="1"/>
  <c r="L109" i="34" s="1"/>
  <c r="L108" i="34" s="1"/>
  <c r="L107" i="34" s="1"/>
  <c r="L106" i="34" s="1"/>
  <c r="L105" i="34" s="1"/>
  <c r="L104" i="34" s="1"/>
  <c r="L103" i="34" s="1"/>
  <c r="L102" i="34" s="1"/>
  <c r="L101" i="34" s="1"/>
  <c r="L100" i="34" s="1"/>
  <c r="L99" i="34" s="1"/>
  <c r="L98" i="34" s="1"/>
  <c r="L97" i="34" s="1"/>
  <c r="L96" i="34" s="1"/>
  <c r="L95" i="34" s="1"/>
  <c r="L94" i="34" s="1"/>
  <c r="L93" i="34" s="1"/>
  <c r="L92" i="34" s="1"/>
  <c r="L91" i="34" s="1"/>
  <c r="L90" i="34" s="1"/>
  <c r="L89" i="34" s="1"/>
  <c r="L88" i="34" s="1"/>
  <c r="L87" i="34" s="1"/>
  <c r="L86" i="34" s="1"/>
  <c r="L85" i="34" s="1"/>
  <c r="L84" i="34" s="1"/>
  <c r="L83" i="34" s="1"/>
  <c r="L82" i="34" s="1"/>
  <c r="L81" i="34" s="1"/>
  <c r="L80" i="34" s="1"/>
  <c r="L79" i="34" s="1"/>
  <c r="L78" i="34" s="1"/>
  <c r="L77" i="34" s="1"/>
  <c r="L76" i="34" s="1"/>
  <c r="L75" i="34" s="1"/>
  <c r="L74" i="34" s="1"/>
  <c r="L73" i="34" s="1"/>
  <c r="L72" i="34" s="1"/>
  <c r="L71" i="34" s="1"/>
  <c r="L70" i="34" s="1"/>
  <c r="L69" i="34" s="1"/>
  <c r="L68" i="34" s="1"/>
  <c r="L67" i="34" s="1"/>
  <c r="L66" i="34" s="1"/>
  <c r="L65" i="34" s="1"/>
  <c r="L64" i="34" s="1"/>
  <c r="L63" i="34" s="1"/>
  <c r="L62" i="34" s="1"/>
  <c r="L61" i="34" s="1"/>
  <c r="L60" i="34" s="1"/>
  <c r="L59" i="34" s="1"/>
  <c r="L58" i="34" s="1"/>
  <c r="L57" i="34" s="1"/>
  <c r="L56" i="34" s="1"/>
  <c r="L55" i="34" s="1"/>
  <c r="L54" i="34" s="1"/>
  <c r="L53" i="34" s="1"/>
  <c r="L52" i="34" s="1"/>
  <c r="L51" i="34" s="1"/>
  <c r="L50" i="34" s="1"/>
  <c r="L49" i="34" s="1"/>
  <c r="L48" i="34" s="1"/>
  <c r="L47" i="34" s="1"/>
  <c r="L46" i="34" s="1"/>
  <c r="L45" i="34" s="1"/>
  <c r="L44" i="34" s="1"/>
  <c r="L43" i="34" s="1"/>
  <c r="L42" i="34" s="1"/>
  <c r="L41" i="34" s="1"/>
  <c r="L40" i="34" s="1"/>
  <c r="L39" i="34" s="1"/>
  <c r="L38" i="34" s="1"/>
  <c r="L37" i="34" s="1"/>
  <c r="L36" i="34" s="1"/>
  <c r="L35" i="34" s="1"/>
  <c r="L34" i="34" s="1"/>
  <c r="L33" i="34" s="1"/>
  <c r="L32" i="34" s="1"/>
  <c r="L31" i="34" s="1"/>
  <c r="L30" i="34" s="1"/>
  <c r="L29" i="34" s="1"/>
  <c r="L28" i="34" s="1"/>
  <c r="L27" i="34" s="1"/>
  <c r="L26" i="34" s="1"/>
  <c r="L25" i="34" s="1"/>
  <c r="L24" i="34" s="1"/>
  <c r="L23" i="34" s="1"/>
  <c r="L22" i="34" s="1"/>
  <c r="L21" i="34" s="1"/>
  <c r="L20" i="34" s="1"/>
  <c r="L19" i="34" s="1"/>
  <c r="L18" i="34" s="1"/>
  <c r="L17" i="34" s="1"/>
  <c r="L16" i="34" s="1"/>
  <c r="L15" i="34" s="1"/>
  <c r="L14" i="34" s="1"/>
  <c r="L13" i="34" s="1"/>
  <c r="L12" i="34" s="1"/>
  <c r="L11" i="34" s="1"/>
  <c r="L10" i="34" s="1"/>
  <c r="L9" i="34" s="1"/>
  <c r="L8" i="34" s="1"/>
  <c r="L7" i="34" s="1"/>
  <c r="L6" i="34" s="1"/>
  <c r="L5" i="34" s="1"/>
  <c r="L4" i="34" s="1"/>
  <c r="L3" i="34" s="1"/>
  <c r="L2" i="34" s="1"/>
  <c r="R102" i="33"/>
  <c r="L122" i="33" s="1"/>
  <c r="L121" i="33" s="1"/>
  <c r="L120" i="33" s="1"/>
  <c r="L119" i="33" s="1"/>
  <c r="L118" i="33" s="1"/>
  <c r="L117" i="33" s="1"/>
  <c r="L116" i="33" s="1"/>
  <c r="L115" i="33" s="1"/>
  <c r="L114" i="33" s="1"/>
  <c r="L113" i="33" s="1"/>
  <c r="L112" i="33" s="1"/>
  <c r="L111" i="33" s="1"/>
  <c r="L110" i="33" s="1"/>
  <c r="L109" i="33" s="1"/>
  <c r="L108" i="33" s="1"/>
  <c r="L107" i="33" s="1"/>
  <c r="L106" i="33" s="1"/>
  <c r="L105" i="33" s="1"/>
  <c r="L104" i="33" s="1"/>
  <c r="L103" i="33" s="1"/>
  <c r="L102" i="33" s="1"/>
  <c r="L101" i="33" s="1"/>
  <c r="L100" i="33" s="1"/>
  <c r="L99" i="33" s="1"/>
  <c r="L98" i="33" s="1"/>
  <c r="L97" i="33" s="1"/>
  <c r="L96" i="33" s="1"/>
  <c r="L95" i="33" s="1"/>
  <c r="L94" i="33" s="1"/>
  <c r="L93" i="33" s="1"/>
  <c r="L92" i="33" s="1"/>
  <c r="L91" i="33" s="1"/>
  <c r="L90" i="33" s="1"/>
  <c r="L89" i="33" s="1"/>
  <c r="L88" i="33" s="1"/>
  <c r="L87" i="33" s="1"/>
  <c r="L86" i="33" s="1"/>
  <c r="L85" i="33" s="1"/>
  <c r="L84" i="33" s="1"/>
  <c r="L83" i="33" s="1"/>
  <c r="L82" i="33" s="1"/>
  <c r="L81" i="33" s="1"/>
  <c r="L80" i="33" s="1"/>
  <c r="L79" i="33" s="1"/>
  <c r="L78" i="33" s="1"/>
  <c r="L77" i="33" s="1"/>
  <c r="L76" i="33" s="1"/>
  <c r="L75" i="33" s="1"/>
  <c r="L74" i="33" s="1"/>
  <c r="L73" i="33" s="1"/>
  <c r="L72" i="33" s="1"/>
  <c r="L71" i="33" s="1"/>
  <c r="L70" i="33" s="1"/>
  <c r="L69" i="33" s="1"/>
  <c r="L68" i="33" s="1"/>
  <c r="L67" i="33" s="1"/>
  <c r="L66" i="33" s="1"/>
  <c r="L65" i="33" s="1"/>
  <c r="L64" i="33" s="1"/>
  <c r="L63" i="33" s="1"/>
  <c r="L62" i="33" s="1"/>
  <c r="L61" i="33" s="1"/>
  <c r="L60" i="33" s="1"/>
  <c r="L59" i="33" s="1"/>
  <c r="L58" i="33" s="1"/>
  <c r="L57" i="33" s="1"/>
  <c r="L56" i="33" s="1"/>
  <c r="L55" i="33" s="1"/>
  <c r="L54" i="33" s="1"/>
  <c r="L53" i="33" s="1"/>
  <c r="L52" i="33" s="1"/>
  <c r="L51" i="33" s="1"/>
  <c r="L50" i="33" s="1"/>
  <c r="L49" i="33" s="1"/>
  <c r="L48" i="33" s="1"/>
  <c r="L47" i="33" s="1"/>
  <c r="L46" i="33" s="1"/>
  <c r="L45" i="33" s="1"/>
  <c r="L44" i="33" s="1"/>
  <c r="L43" i="33" s="1"/>
  <c r="L42" i="33" s="1"/>
  <c r="L41" i="33" s="1"/>
  <c r="L40" i="33" s="1"/>
  <c r="L39" i="33" s="1"/>
  <c r="L38" i="33" s="1"/>
  <c r="L37" i="33" s="1"/>
  <c r="L36" i="33" s="1"/>
  <c r="L35" i="33" s="1"/>
  <c r="L34" i="33" s="1"/>
  <c r="L33" i="33" s="1"/>
  <c r="L32" i="33" s="1"/>
  <c r="L31" i="33" s="1"/>
  <c r="L30" i="33" s="1"/>
  <c r="L29" i="33" s="1"/>
  <c r="L28" i="33" s="1"/>
  <c r="L27" i="33" s="1"/>
  <c r="L26" i="33" s="1"/>
  <c r="L25" i="33" s="1"/>
  <c r="L24" i="33" s="1"/>
  <c r="L23" i="33" s="1"/>
  <c r="L22" i="33" s="1"/>
  <c r="L21" i="33" s="1"/>
  <c r="L20" i="33" s="1"/>
  <c r="L19" i="33" s="1"/>
  <c r="L18" i="33" s="1"/>
  <c r="L17" i="33" s="1"/>
  <c r="L16" i="33" s="1"/>
  <c r="L15" i="33" s="1"/>
  <c r="L14" i="33" s="1"/>
  <c r="L13" i="33" s="1"/>
  <c r="L12" i="33" s="1"/>
  <c r="L11" i="33" s="1"/>
  <c r="L10" i="33" s="1"/>
  <c r="L9" i="33" s="1"/>
  <c r="L8" i="33" s="1"/>
  <c r="L7" i="33" s="1"/>
  <c r="L6" i="33" s="1"/>
  <c r="L5" i="33" s="1"/>
  <c r="L4" i="33" s="1"/>
  <c r="L3" i="33" s="1"/>
  <c r="L2" i="33" s="1"/>
  <c r="P90" i="41" a="1"/>
  <c r="P89" i="41" a="1"/>
  <c r="P89" i="41" l="1"/>
  <c r="M102" i="41" s="1"/>
  <c r="P90" i="41"/>
  <c r="K122" i="41" s="1"/>
  <c r="K121" i="41" l="1"/>
  <c r="K120" i="41" s="1"/>
  <c r="K119" i="41" s="1"/>
  <c r="K118" i="41" s="1"/>
  <c r="K117" i="41" s="1"/>
  <c r="K116" i="41" s="1"/>
  <c r="K115" i="41" s="1"/>
  <c r="K114" i="41" s="1"/>
  <c r="K113" i="41" s="1"/>
  <c r="K112" i="41" s="1"/>
  <c r="K111" i="41" s="1"/>
  <c r="K110" i="41" s="1"/>
  <c r="K109" i="41" s="1"/>
  <c r="K108" i="41" s="1"/>
  <c r="K107" i="41" s="1"/>
  <c r="K106" i="41" s="1"/>
  <c r="K105" i="41" s="1"/>
  <c r="K104" i="41" s="1"/>
  <c r="K103" i="41" s="1"/>
  <c r="K102" i="41" s="1"/>
  <c r="K101" i="41" s="1"/>
  <c r="K100" i="41" s="1"/>
  <c r="K99" i="41" s="1"/>
  <c r="K98" i="41" s="1"/>
  <c r="K97" i="41" s="1"/>
  <c r="K96" i="41" s="1"/>
  <c r="K95" i="41" s="1"/>
  <c r="K94" i="41" s="1"/>
  <c r="K93" i="41" s="1"/>
  <c r="K92" i="41" s="1"/>
  <c r="K91" i="41" s="1"/>
  <c r="K90" i="41" s="1"/>
  <c r="K89" i="41" s="1"/>
  <c r="K88" i="41" s="1"/>
  <c r="K87" i="41" s="1"/>
  <c r="K86" i="41" s="1"/>
  <c r="K85" i="41" s="1"/>
  <c r="K84" i="41" s="1"/>
  <c r="K83" i="41" s="1"/>
  <c r="K82" i="41" s="1"/>
  <c r="M122" i="41"/>
  <c r="K81" i="41" l="1"/>
  <c r="K80" i="41" s="1"/>
  <c r="K79" i="41" s="1"/>
  <c r="K78" i="41" s="1"/>
  <c r="K77" i="41" s="1"/>
  <c r="K76" i="41" s="1"/>
  <c r="K75" i="41" s="1"/>
  <c r="K74" i="41" s="1"/>
  <c r="K73" i="41" s="1"/>
  <c r="K72" i="41" s="1"/>
  <c r="M82" i="41"/>
  <c r="K71" i="41" l="1"/>
  <c r="K70" i="41" s="1"/>
  <c r="K69" i="41" s="1"/>
  <c r="K68" i="41" s="1"/>
  <c r="K67" i="41" s="1"/>
  <c r="K66" i="41" s="1"/>
  <c r="K65" i="41" s="1"/>
  <c r="K64" i="41" s="1"/>
  <c r="K63" i="41" s="1"/>
  <c r="K62" i="41" s="1"/>
  <c r="M72" i="41"/>
  <c r="K61" i="41" l="1"/>
  <c r="K60" i="41" s="1"/>
  <c r="K59" i="41" s="1"/>
  <c r="K58" i="41" s="1"/>
  <c r="K57" i="41" s="1"/>
  <c r="K56" i="41" s="1"/>
  <c r="K55" i="41" s="1"/>
  <c r="K54" i="41" s="1"/>
  <c r="K53" i="41" s="1"/>
  <c r="K52" i="41" s="1"/>
  <c r="M62" i="41"/>
  <c r="K51" i="41" l="1"/>
  <c r="K50" i="41" s="1"/>
  <c r="K49" i="41" s="1"/>
  <c r="K48" i="41" s="1"/>
  <c r="K47" i="41" s="1"/>
  <c r="K46" i="41" s="1"/>
  <c r="K45" i="41" s="1"/>
  <c r="K44" i="41" s="1"/>
  <c r="K43" i="41" s="1"/>
  <c r="K42" i="41" s="1"/>
  <c r="M52" i="41"/>
  <c r="K41" i="41" l="1"/>
  <c r="K40" i="41" s="1"/>
  <c r="M42" i="41"/>
  <c r="K39" i="41" l="1"/>
  <c r="K38" i="41" s="1"/>
  <c r="M40" i="41"/>
  <c r="K37" i="41" l="1"/>
  <c r="K36" i="41" s="1"/>
  <c r="M38" i="41"/>
  <c r="K35" i="41" l="1"/>
  <c r="K34" i="41" s="1"/>
  <c r="M36" i="41"/>
  <c r="K33" i="41" l="1"/>
  <c r="K32" i="41" s="1"/>
  <c r="M34" i="41"/>
  <c r="K31" i="41" l="1"/>
  <c r="K30" i="41" s="1"/>
  <c r="M32" i="41"/>
  <c r="K29" i="41" l="1"/>
  <c r="K28" i="41" s="1"/>
  <c r="M30" i="41"/>
  <c r="K27" i="41" l="1"/>
  <c r="K26" i="41" s="1"/>
  <c r="M28" i="41"/>
  <c r="K25" i="41" l="1"/>
  <c r="K24" i="41" s="1"/>
  <c r="M26" i="41"/>
  <c r="K23" i="41" l="1"/>
  <c r="K22" i="41" s="1"/>
  <c r="M24" i="41"/>
  <c r="K21" i="41" l="1"/>
  <c r="K20" i="41" s="1"/>
  <c r="M22" i="41"/>
  <c r="K19" i="41" l="1"/>
  <c r="K18" i="41" s="1"/>
  <c r="M20" i="41"/>
  <c r="K17" i="41" l="1"/>
  <c r="K16" i="41" s="1"/>
  <c r="M18" i="41"/>
  <c r="K15" i="41" l="1"/>
  <c r="K14" i="41" s="1"/>
  <c r="M16" i="41"/>
  <c r="K13" i="41" l="1"/>
  <c r="K12" i="41" s="1"/>
  <c r="M14" i="41"/>
  <c r="K11" i="41" l="1"/>
  <c r="K10" i="41" s="1"/>
  <c r="M12" i="41"/>
  <c r="K9" i="41" l="1"/>
  <c r="K8" i="41" s="1"/>
  <c r="M10" i="41"/>
  <c r="K7" i="41" l="1"/>
  <c r="K6" i="41" s="1"/>
  <c r="M8" i="41"/>
  <c r="K5" i="41" l="1"/>
  <c r="M6" i="41"/>
  <c r="K4" i="41" l="1"/>
  <c r="M5" i="41"/>
  <c r="K3" i="41" l="1"/>
  <c r="M4" i="41"/>
  <c r="K2" i="41" l="1"/>
  <c r="M3" i="41"/>
  <c r="R102" i="34" a="1"/>
  <c r="Q102" i="35" a="1"/>
  <c r="Q102" i="36" a="1"/>
  <c r="Q102" i="36" l="1"/>
  <c r="N102" i="36" s="1"/>
  <c r="Q102" i="35"/>
  <c r="N102" i="35" s="1"/>
  <c r="R102" i="34"/>
  <c r="N102" i="34" s="1"/>
  <c r="N102" i="33"/>
  <c r="N122" i="36" l="1"/>
  <c r="N122" i="35"/>
  <c r="N122" i="34"/>
  <c r="N122" i="33"/>
  <c r="N82" i="36" l="1"/>
  <c r="N82" i="35"/>
  <c r="N82" i="34"/>
  <c r="N82" i="33"/>
  <c r="N72" i="36" l="1"/>
  <c r="N72" i="35"/>
  <c r="N72" i="34"/>
  <c r="N72" i="33"/>
  <c r="N62" i="36" l="1"/>
  <c r="N62" i="35"/>
  <c r="N62" i="34"/>
  <c r="N62" i="33"/>
  <c r="N52" i="36" l="1"/>
  <c r="N52" i="35"/>
  <c r="N52" i="34"/>
  <c r="N52" i="33"/>
  <c r="N42" i="36" l="1"/>
  <c r="N42" i="35"/>
  <c r="N42" i="34"/>
  <c r="N42" i="33"/>
  <c r="N40" i="36" l="1"/>
  <c r="N40" i="35"/>
  <c r="N40" i="34"/>
  <c r="N40" i="33"/>
  <c r="N38" i="36" l="1"/>
  <c r="N38" i="35"/>
  <c r="N38" i="34"/>
  <c r="N38" i="33"/>
  <c r="N36" i="36" l="1"/>
  <c r="N36" i="35"/>
  <c r="N36" i="34"/>
  <c r="N36" i="33"/>
  <c r="N34" i="36" l="1"/>
  <c r="N34" i="35"/>
  <c r="N34" i="34"/>
  <c r="N34" i="33"/>
  <c r="N32" i="36" l="1"/>
  <c r="N32" i="35"/>
  <c r="N32" i="34"/>
  <c r="N32" i="33"/>
  <c r="N30" i="36" l="1"/>
  <c r="N30" i="35"/>
  <c r="N30" i="34"/>
  <c r="N30" i="33"/>
  <c r="N28" i="36" l="1"/>
  <c r="N28" i="35"/>
  <c r="N28" i="34"/>
  <c r="N28" i="33"/>
  <c r="N26" i="36" l="1"/>
  <c r="N26" i="35"/>
  <c r="N26" i="34"/>
  <c r="N26" i="33"/>
  <c r="N24" i="36" l="1"/>
  <c r="N24" i="35"/>
  <c r="N24" i="34"/>
  <c r="N24" i="33"/>
  <c r="N22" i="36" l="1"/>
  <c r="N22" i="35"/>
  <c r="N22" i="34"/>
  <c r="N22" i="33"/>
  <c r="N20" i="36" l="1"/>
  <c r="N20" i="35"/>
  <c r="N20" i="34"/>
  <c r="N20" i="33"/>
  <c r="N18" i="36" l="1"/>
  <c r="N18" i="35"/>
  <c r="N18" i="34"/>
  <c r="N18" i="33"/>
  <c r="N16" i="36" l="1"/>
  <c r="N16" i="35"/>
  <c r="N16" i="34"/>
  <c r="N16" i="33"/>
  <c r="N14" i="36" l="1"/>
  <c r="N14" i="35"/>
  <c r="N14" i="34"/>
  <c r="N14" i="33"/>
  <c r="N12" i="36" l="1"/>
  <c r="N12" i="35"/>
  <c r="N12" i="34"/>
  <c r="N12" i="33"/>
  <c r="N10" i="36" l="1"/>
  <c r="N10" i="35"/>
  <c r="N10" i="34"/>
  <c r="N10" i="33"/>
  <c r="N8" i="36" l="1"/>
  <c r="N8" i="35"/>
  <c r="N8" i="34"/>
  <c r="N8" i="33"/>
  <c r="N6" i="36" l="1"/>
  <c r="N6" i="35"/>
  <c r="N6" i="34"/>
  <c r="N6" i="33"/>
  <c r="N5" i="36" l="1"/>
  <c r="N5" i="35"/>
  <c r="N5" i="34"/>
  <c r="N5" i="33"/>
  <c r="N4" i="36" l="1"/>
  <c r="N4" i="35"/>
  <c r="N4" i="34"/>
  <c r="N4" i="33"/>
  <c r="N3" i="36" l="1"/>
  <c r="N3" i="35"/>
  <c r="N3" i="34"/>
  <c r="N3" i="33"/>
  <c r="J5" i="31" l="1"/>
  <c r="J6" i="31" l="1"/>
  <c r="J7" i="31" s="1"/>
  <c r="J8" i="31" l="1"/>
  <c r="J9" i="31" s="1"/>
  <c r="J10" i="31" l="1"/>
  <c r="J11" i="31" s="1"/>
  <c r="J12" i="31" s="1"/>
  <c r="J13" i="31" s="1"/>
  <c r="J14" i="31" s="1"/>
  <c r="J15" i="31" s="1"/>
  <c r="J16" i="31" s="1"/>
  <c r="J17" i="31" s="1"/>
  <c r="J18" i="31" s="1"/>
  <c r="J19" i="31" s="1"/>
  <c r="J20" i="31" s="1"/>
  <c r="J21" i="31" s="1"/>
  <c r="J22" i="31" s="1"/>
  <c r="J23" i="31" s="1"/>
  <c r="J24" i="31" s="1"/>
  <c r="J25" i="31" s="1"/>
  <c r="J26" i="31" s="1"/>
  <c r="J27" i="31" s="1"/>
  <c r="J28" i="31" s="1"/>
  <c r="J29" i="31" s="1"/>
  <c r="J30" i="31" s="1"/>
  <c r="J31" i="31" s="1"/>
  <c r="J32" i="31" s="1"/>
  <c r="J33" i="31" s="1"/>
  <c r="J34" i="31" s="1"/>
  <c r="J35" i="31" s="1"/>
  <c r="J36" i="31" s="1"/>
  <c r="J37" i="31" s="1"/>
  <c r="J38" i="31" s="1"/>
  <c r="J39" i="31" s="1"/>
  <c r="J40" i="31" s="1"/>
  <c r="J41" i="31" s="1"/>
  <c r="J42" i="31" s="1"/>
  <c r="J43" i="31" s="1"/>
  <c r="J44" i="31" s="1"/>
  <c r="J45" i="31" s="1"/>
  <c r="J46" i="31" s="1"/>
  <c r="J47" i="31" l="1"/>
  <c r="J48" i="31" s="1"/>
  <c r="J49" i="31" s="1"/>
  <c r="J50" i="31" s="1"/>
  <c r="J51" i="31" s="1"/>
  <c r="J52" i="31" s="1"/>
  <c r="J53" i="31" s="1"/>
  <c r="J54" i="31" s="1"/>
  <c r="J55" i="31" s="1"/>
  <c r="J56" i="31" s="1"/>
  <c r="J57" i="31" s="1"/>
  <c r="J58" i="31" s="1"/>
  <c r="J59" i="31" s="1"/>
  <c r="J60" i="31" s="1"/>
  <c r="J61" i="31" s="1"/>
  <c r="J62" i="31" s="1"/>
  <c r="J63" i="31" s="1"/>
  <c r="J64" i="31" s="1"/>
  <c r="J65" i="31" s="1"/>
  <c r="J66" i="31" s="1"/>
  <c r="J67" i="31" s="1"/>
  <c r="J68" i="31" s="1"/>
  <c r="J69" i="31" s="1"/>
  <c r="J70" i="31" s="1"/>
  <c r="J71" i="31" s="1"/>
  <c r="J72" i="31" s="1"/>
  <c r="J73" i="31" s="1"/>
  <c r="J74" i="31" s="1"/>
  <c r="J75" i="31" s="1"/>
  <c r="J76" i="31" s="1"/>
  <c r="J77" i="31" s="1"/>
  <c r="J78" i="31" s="1"/>
  <c r="J79" i="31" s="1"/>
  <c r="J80" i="31" s="1"/>
  <c r="J81" i="31" s="1"/>
  <c r="J82" i="31" s="1"/>
  <c r="J83" i="31" s="1"/>
  <c r="J84" i="31" s="1"/>
  <c r="J85" i="31" s="1"/>
  <c r="J86" i="31" s="1"/>
  <c r="J87" i="31" s="1"/>
  <c r="J88" i="31" s="1"/>
  <c r="J89" i="31" s="1"/>
  <c r="J90" i="31" s="1"/>
  <c r="J91" i="31" s="1"/>
  <c r="J92" i="31" s="1"/>
  <c r="J93" i="31" s="1"/>
  <c r="J94" i="31" s="1"/>
  <c r="J95" i="31" s="1"/>
  <c r="J96" i="31" s="1"/>
  <c r="J97" i="31" s="1"/>
  <c r="J98" i="31" s="1"/>
  <c r="J99" i="31" s="1"/>
  <c r="J100" i="31" s="1"/>
  <c r="J101" i="31" s="1"/>
  <c r="J102" i="31" s="1"/>
  <c r="J103" i="31" s="1"/>
  <c r="J104" i="31" s="1"/>
  <c r="J105" i="31" s="1"/>
  <c r="J106" i="31" s="1"/>
  <c r="J107" i="31" s="1"/>
  <c r="J108" i="31" s="1"/>
  <c r="J109" i="31" s="1"/>
  <c r="J110" i="31" s="1"/>
  <c r="J111" i="31" s="1"/>
  <c r="J112" i="31" s="1"/>
  <c r="J113" i="31" s="1"/>
  <c r="J114" i="31" s="1"/>
  <c r="J115" i="31" s="1"/>
  <c r="J116" i="31" s="1"/>
  <c r="J117" i="31" s="1"/>
  <c r="J118" i="31" s="1"/>
  <c r="J119" i="31" s="1"/>
  <c r="J120" i="31" s="1"/>
  <c r="J121" i="31" s="1"/>
  <c r="J122" i="3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<sst xmlns="http://schemas.openxmlformats.org/spreadsheetml/2006/main" count="85" uniqueCount="26">
  <si>
    <t>Time</t>
  </si>
  <si>
    <t>Maturity</t>
  </si>
  <si>
    <t>Pc</t>
  </si>
  <si>
    <t>P6m</t>
  </si>
  <si>
    <t>TauL</t>
  </si>
  <si>
    <t>TauK</t>
  </si>
  <si>
    <t>AcK</t>
  </si>
  <si>
    <t>J</t>
  </si>
  <si>
    <t>tau</t>
  </si>
  <si>
    <t>SSP119</t>
  </si>
  <si>
    <t>SSP126</t>
  </si>
  <si>
    <t>SSP245</t>
  </si>
  <si>
    <t>SSP370</t>
  </si>
  <si>
    <t>SSP585</t>
  </si>
  <si>
    <t>PSSP119</t>
  </si>
  <si>
    <t>PSSP126</t>
  </si>
  <si>
    <t>PSSP245</t>
  </si>
  <si>
    <t>PSSP370</t>
  </si>
  <si>
    <t>PSSP585</t>
  </si>
  <si>
    <t>P6 shifted</t>
  </si>
  <si>
    <t>Nodes</t>
  </si>
  <si>
    <t>Pc(0,spot)</t>
  </si>
  <si>
    <t>Rates</t>
  </si>
  <si>
    <t>Fwd</t>
  </si>
  <si>
    <t>Original</t>
  </si>
  <si>
    <t>Soriginal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</si>
</sst>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6" formatCode="0.0000000"/>
    <numFmt numFmtId="167" formatCode="0.0000"/>
    <numFmt numFmtId="168" formatCode="0.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0" borderId="3" xfId="0" applyBorder="1"/>
    <xf numFmtId="0" fontId="1" fillId="0" borderId="5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5" xfId="0" applyFont="1" applyBorder="1" applyAlignment="1">
      <alignment horizontal="center" vertical="top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7" xfId="0" applyFont="1" applyBorder="1" applyAlignment="1">
      <alignment horizontal="center" vertical="top"/>
    </xf>
    <xf numFmtId="0" fontId="0" fillId="0" borderId="8" xfId="0" applyBorder="1"/>
    <xf numFmtId="0" fontId="2" fillId="0" borderId="9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166" fontId="0" fillId="0" borderId="0" xfId="0" applyNumberFormat="1"/>
    <xf numFmtId="167" fontId="0" fillId="0" borderId="0" xfId="0" applyNumberFormat="1"/>
    <xf numFmtId="167" fontId="2" fillId="0" borderId="0" xfId="0" applyNumberFormat="1" applyFont="1" applyAlignment="1">
      <alignment vertical="center"/>
    </xf>
    <xf numFmtId="168" fontId="0" fillId="0" borderId="0" xfId="0" applyNumberFormat="1"/>
    <xf numFmtId="168" fontId="2" fillId="0" borderId="0" xfId="0" applyNumberFormat="1" applyFont="1" applyAlignment="1">
      <alignment vertical="center"/>
    </xf>
    <xf numFmtId="167" fontId="1" fillId="0" borderId="0" xfId="0" applyNumberFormat="1" applyFont="1"/>
    <xf numFmtId="167" fontId="1" fillId="0" borderId="0" xfId="0" applyNumberFormat="1" applyFont="1" applyAlignment="1">
      <alignment horizontal="center" vertical="top"/>
    </xf>
    <xf numFmtId="168" fontId="1" fillId="0" borderId="0" xfId="0" applyNumberFormat="1" applyFont="1"/>
    <xf numFmtId="168" fontId="2" fillId="0" borderId="8" xfId="0" applyNumberFormat="1" applyFont="1" applyBorder="1" applyAlignment="1">
      <alignment vertical="center"/>
    </xf>
    <xf numFmtId="168" fontId="0" fillId="0" borderId="8" xfId="0" applyNumberFormat="1" applyBorder="1"/>
    <xf numFmtId="168" fontId="0" fillId="0" borderId="3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35C7-CB4E-465E-AF04-269CAAA527BB}">
  <sheetPr codeName="Sheet2"/>
  <dimension ref="A1:L122"/>
  <sheetViews>
    <sheetView zoomScaleNormal="100" workbookViewId="0">
      <pane ySplit="1" topLeftCell="A2" activePane="bottomLeft" state="frozen"/>
      <selection pane="bottomLeft" activeCell="M105" sqref="M105"/>
    </sheetView>
  </sheetViews>
  <sheetFormatPr defaultRowHeight="14.4"/>
  <cols>
    <col min="2" max="2" width="10.5546875" bestFit="1" customWidth="1"/>
    <col min="3" max="8" width="9.5546875" bestFit="1" customWidth="1"/>
    <col min="9" max="9" width="10.5546875" bestFit="1" customWidth="1"/>
    <col min="10" max="10" width="9.5546875" bestFit="1" customWidth="1"/>
    <col min="12" max="12" width="9.5546875" bestFit="1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2" t="s">
        <v>23</v>
      </c>
      <c r="F1" s="1" t="s">
        <v>4</v>
      </c>
      <c r="G1" s="1" t="s">
        <v>22</v>
      </c>
      <c r="H1" s="1" t="s">
        <v>5</v>
      </c>
      <c r="I1" s="1" t="s">
        <v>6</v>
      </c>
      <c r="J1" s="2" t="s">
        <v>7</v>
      </c>
    </row>
    <row r="2" spans="1:10">
      <c r="A2" s="11">
        <v>0</v>
      </c>
      <c r="B2" s="5">
        <v>44754</v>
      </c>
      <c r="D2">
        <v>1</v>
      </c>
      <c r="E2">
        <v>0</v>
      </c>
      <c r="F2">
        <v>0</v>
      </c>
      <c r="G2">
        <v>0</v>
      </c>
      <c r="H2" s="5"/>
      <c r="I2" s="5"/>
    </row>
    <row r="3" spans="1:10">
      <c r="A3">
        <v>0.5</v>
      </c>
      <c r="B3" s="5">
        <v>44938</v>
      </c>
      <c r="C3" s="18">
        <v>0.99904288423151055</v>
      </c>
      <c r="D3" s="18">
        <v>0.99801063213993446</v>
      </c>
      <c r="E3" s="18">
        <v>3.89999999999991E-3</v>
      </c>
      <c r="F3" s="18">
        <v>0.51111111111111107</v>
      </c>
      <c r="G3" s="18">
        <v>0.39</v>
      </c>
      <c r="H3" s="18"/>
      <c r="I3" s="18"/>
      <c r="J3" s="18">
        <f>E3*F3*C3</f>
        <v>1.9914254825680981E-3</v>
      </c>
    </row>
    <row r="4" spans="1:10">
      <c r="A4">
        <v>1</v>
      </c>
      <c r="B4" s="5">
        <v>45119</v>
      </c>
      <c r="C4" s="18">
        <v>0.99324592130854139</v>
      </c>
      <c r="D4" s="18">
        <v>0.99104474380986662</v>
      </c>
      <c r="E4" s="18">
        <v>1.3979999999904E-2</v>
      </c>
      <c r="F4" s="18">
        <v>0.50277777777777777</v>
      </c>
      <c r="G4" s="18">
        <v>1.3979999999999999</v>
      </c>
      <c r="H4" s="18">
        <v>1</v>
      </c>
      <c r="I4" s="18">
        <v>0.99324592130854139</v>
      </c>
      <c r="J4" s="18">
        <f t="shared" ref="J4:J35" si="0">J3+(E4*F4*C4)</f>
        <v>8.9727855224110108E-3</v>
      </c>
    </row>
    <row r="5" spans="1:10">
      <c r="A5">
        <v>1.5</v>
      </c>
      <c r="B5" s="5">
        <v>45303</v>
      </c>
      <c r="C5" s="18">
        <v>0.9860284425870447</v>
      </c>
      <c r="D5" s="18">
        <v>0.98259746260138792</v>
      </c>
      <c r="E5" s="18">
        <v>1.6819999999980999E-2</v>
      </c>
      <c r="F5" s="18">
        <v>0.51111111111111107</v>
      </c>
      <c r="G5" s="18">
        <v>1.6819999999999999</v>
      </c>
      <c r="H5" s="18"/>
      <c r="I5" s="18"/>
      <c r="J5" s="18">
        <f t="shared" si="0"/>
        <v>1.7449562484606416E-2</v>
      </c>
    </row>
    <row r="6" spans="1:10">
      <c r="A6">
        <v>2</v>
      </c>
      <c r="B6" s="5">
        <v>45485</v>
      </c>
      <c r="C6" s="18">
        <v>0.97878176388692029</v>
      </c>
      <c r="D6" s="18">
        <v>0.97444692296927427</v>
      </c>
      <c r="E6" s="18">
        <v>1.6544714899334002E-2</v>
      </c>
      <c r="F6" s="18">
        <v>0.50555555555555554</v>
      </c>
      <c r="G6" s="18">
        <v>1.3</v>
      </c>
      <c r="H6" s="18">
        <v>1</v>
      </c>
      <c r="I6" s="18">
        <v>1.9720276851954619</v>
      </c>
      <c r="J6" s="18">
        <f t="shared" si="0"/>
        <v>2.5636359907540013E-2</v>
      </c>
    </row>
    <row r="7" spans="1:10">
      <c r="A7">
        <v>2.5</v>
      </c>
      <c r="B7" s="5">
        <v>45670</v>
      </c>
      <c r="C7" s="18">
        <v>0.9715063307647499</v>
      </c>
      <c r="D7" s="18">
        <v>0.96605078949251333</v>
      </c>
      <c r="E7" s="18">
        <v>1.69125910132602E-2</v>
      </c>
      <c r="F7" s="18">
        <v>0.51388888888888884</v>
      </c>
      <c r="G7" s="18"/>
      <c r="H7" s="18"/>
      <c r="I7" s="18"/>
      <c r="J7" s="18">
        <f t="shared" si="0"/>
        <v>3.4079908544257236E-2</v>
      </c>
    </row>
    <row r="8" spans="1:10">
      <c r="A8">
        <v>3</v>
      </c>
      <c r="B8" s="5">
        <v>45852</v>
      </c>
      <c r="C8" s="18">
        <v>0.96404622206233692</v>
      </c>
      <c r="D8" s="18">
        <v>0.95729638500968794</v>
      </c>
      <c r="E8" s="18">
        <v>1.8088864371244101E-2</v>
      </c>
      <c r="F8" s="18">
        <v>0.50555555555555554</v>
      </c>
      <c r="G8" s="18">
        <v>1.4610000000000001</v>
      </c>
      <c r="H8" s="18">
        <v>1.005555555555556</v>
      </c>
      <c r="I8" s="18">
        <v>2.9414297196025889</v>
      </c>
      <c r="J8" s="18">
        <f t="shared" si="0"/>
        <v>4.2896039786607928E-2</v>
      </c>
    </row>
    <row r="9" spans="1:10">
      <c r="A9">
        <v>3.5</v>
      </c>
      <c r="B9" s="5">
        <v>46034</v>
      </c>
      <c r="C9" s="18">
        <v>0.95592389246503651</v>
      </c>
      <c r="D9" s="18">
        <v>0.94796491452005915</v>
      </c>
      <c r="E9" s="18">
        <v>1.9479741902559099E-2</v>
      </c>
      <c r="F9" s="18">
        <v>0.50555555555555554</v>
      </c>
      <c r="G9" s="18"/>
      <c r="H9" s="18"/>
      <c r="I9" s="18"/>
      <c r="J9" s="18">
        <f t="shared" si="0"/>
        <v>5.2310065975705033E-2</v>
      </c>
    </row>
    <row r="10" spans="1:10">
      <c r="A10">
        <v>4</v>
      </c>
      <c r="B10" s="5">
        <v>46216</v>
      </c>
      <c r="C10" s="18">
        <v>0.94713494159022615</v>
      </c>
      <c r="D10" s="18">
        <v>0.93807952562658103</v>
      </c>
      <c r="E10" s="18">
        <v>2.0844199194661701E-2</v>
      </c>
      <c r="F10" s="18">
        <v>0.50555555555555554</v>
      </c>
      <c r="G10" s="18">
        <v>1.6040000000000001</v>
      </c>
      <c r="H10" s="18">
        <v>0.99722222222222223</v>
      </c>
      <c r="I10" s="18">
        <v>3.885933730799509</v>
      </c>
      <c r="J10" s="18">
        <f t="shared" si="0"/>
        <v>6.2290879943441235E-2</v>
      </c>
    </row>
    <row r="11" spans="1:10">
      <c r="A11">
        <v>4.5</v>
      </c>
      <c r="B11" s="5">
        <v>46399</v>
      </c>
      <c r="C11" s="18">
        <v>0.9377546742182391</v>
      </c>
      <c r="D11" s="18">
        <v>0.92766793341618325</v>
      </c>
      <c r="E11" s="18">
        <v>2.2082122249332401E-2</v>
      </c>
      <c r="F11" s="18">
        <v>0.5083333333333333</v>
      </c>
      <c r="G11" s="18"/>
      <c r="H11" s="18"/>
      <c r="I11" s="18"/>
      <c r="J11" s="18">
        <f t="shared" si="0"/>
        <v>7.2817250066059339E-2</v>
      </c>
    </row>
    <row r="12" spans="1:10">
      <c r="A12">
        <v>5</v>
      </c>
      <c r="B12" s="5">
        <v>46580</v>
      </c>
      <c r="C12" s="18">
        <v>0.92824283734542401</v>
      </c>
      <c r="D12" s="18">
        <v>0.91712844122432902</v>
      </c>
      <c r="E12" s="18">
        <v>2.2856695926326401E-2</v>
      </c>
      <c r="F12" s="18">
        <v>0.50277777777777777</v>
      </c>
      <c r="G12" s="18">
        <v>1.7350000000000001</v>
      </c>
      <c r="H12" s="18">
        <v>0.99722222222222223</v>
      </c>
      <c r="I12" s="18">
        <v>4.811598115818974</v>
      </c>
      <c r="J12" s="18">
        <f t="shared" si="0"/>
        <v>8.3484467106331728E-2</v>
      </c>
    </row>
    <row r="13" spans="1:10">
      <c r="A13">
        <v>5.5</v>
      </c>
      <c r="B13" s="5">
        <v>46764</v>
      </c>
      <c r="C13" s="18">
        <v>0.9185963965955859</v>
      </c>
      <c r="D13" s="18">
        <v>0.90637502877283138</v>
      </c>
      <c r="E13" s="18">
        <v>2.3212560544255901E-2</v>
      </c>
      <c r="F13" s="18">
        <v>0.51111111111111107</v>
      </c>
      <c r="G13" s="18"/>
      <c r="H13" s="18"/>
      <c r="I13" s="18"/>
      <c r="J13" s="18">
        <f t="shared" si="0"/>
        <v>9.438287628076146E-2</v>
      </c>
    </row>
    <row r="14" spans="1:10">
      <c r="A14">
        <v>6</v>
      </c>
      <c r="B14" s="5">
        <v>46946</v>
      </c>
      <c r="C14" s="18">
        <v>0.90901718303320767</v>
      </c>
      <c r="D14" s="18">
        <v>0.89571111788568369</v>
      </c>
      <c r="E14" s="18">
        <v>2.3549389624901301E-2</v>
      </c>
      <c r="F14" s="18">
        <v>0.50555555555555554</v>
      </c>
      <c r="G14" s="18">
        <v>1.839</v>
      </c>
      <c r="H14" s="18">
        <v>1</v>
      </c>
      <c r="I14" s="18">
        <v>5.7206152988521817</v>
      </c>
      <c r="J14" s="18">
        <f t="shared" si="0"/>
        <v>0.10520520285591206</v>
      </c>
    </row>
    <row r="15" spans="1:10">
      <c r="A15">
        <v>6.5</v>
      </c>
      <c r="B15" s="5">
        <v>47130</v>
      </c>
      <c r="C15" s="18">
        <v>0.89917826917514665</v>
      </c>
      <c r="D15" s="18">
        <v>0.88485868785708344</v>
      </c>
      <c r="E15" s="18">
        <v>2.39959391987998E-2</v>
      </c>
      <c r="F15" s="18">
        <v>0.51111111111111107</v>
      </c>
      <c r="G15" s="18"/>
      <c r="H15" s="18"/>
      <c r="I15" s="18"/>
      <c r="J15" s="18">
        <f t="shared" si="0"/>
        <v>0.11623325669476103</v>
      </c>
    </row>
    <row r="16" spans="1:10">
      <c r="A16">
        <v>7</v>
      </c>
      <c r="B16" s="5">
        <v>47311</v>
      </c>
      <c r="C16" s="18">
        <v>0.8893123052047649</v>
      </c>
      <c r="D16" s="18">
        <v>0.8740370041426615</v>
      </c>
      <c r="E16" s="18">
        <v>2.4625720319847801E-2</v>
      </c>
      <c r="F16" s="18">
        <v>0.50277777777777777</v>
      </c>
      <c r="G16" s="18">
        <v>1.925</v>
      </c>
      <c r="H16" s="18">
        <v>1</v>
      </c>
      <c r="I16" s="18">
        <v>6.6099276040569466</v>
      </c>
      <c r="J16" s="18">
        <f t="shared" si="0"/>
        <v>0.12724406795864956</v>
      </c>
    </row>
    <row r="17" spans="1:12">
      <c r="A17">
        <v>7.5</v>
      </c>
      <c r="B17" s="5">
        <v>47497</v>
      </c>
      <c r="C17" s="18">
        <v>0.87897161571716564</v>
      </c>
      <c r="D17" s="18">
        <v>0.86271292715050496</v>
      </c>
      <c r="E17" s="18">
        <v>2.5405401590895899E-2</v>
      </c>
      <c r="F17" s="18">
        <v>0.51666666666666672</v>
      </c>
      <c r="G17" s="18"/>
      <c r="H17" s="18"/>
      <c r="I17" s="18"/>
      <c r="J17" s="18">
        <f t="shared" si="0"/>
        <v>0.13878155851553439</v>
      </c>
    </row>
    <row r="18" spans="1:12">
      <c r="A18">
        <v>8</v>
      </c>
      <c r="B18" s="5">
        <v>47676</v>
      </c>
      <c r="C18" s="18">
        <v>0.86884980767765363</v>
      </c>
      <c r="D18" s="18">
        <v>0.85168947472002765</v>
      </c>
      <c r="E18" s="18">
        <v>2.6037552195365E-2</v>
      </c>
      <c r="F18" s="18">
        <v>0.49722222222222218</v>
      </c>
      <c r="G18" s="18">
        <v>2.0059999999999998</v>
      </c>
      <c r="H18" s="18">
        <v>1</v>
      </c>
      <c r="I18" s="18">
        <v>7.4787774117346002</v>
      </c>
      <c r="J18" s="18">
        <f t="shared" si="0"/>
        <v>0.15003007872915611</v>
      </c>
    </row>
    <row r="19" spans="1:12">
      <c r="A19">
        <v>8.5</v>
      </c>
      <c r="B19" s="5">
        <v>47861</v>
      </c>
      <c r="C19" s="18">
        <v>0.85822803261302394</v>
      </c>
      <c r="D19" s="18">
        <v>0.84022535250532049</v>
      </c>
      <c r="E19" s="18">
        <v>2.6550689146691599E-2</v>
      </c>
      <c r="F19" s="18">
        <v>0.51388888888888884</v>
      </c>
      <c r="G19" s="18"/>
      <c r="H19" s="18"/>
      <c r="I19" s="18"/>
      <c r="J19" s="18">
        <f t="shared" si="0"/>
        <v>0.16173983138613873</v>
      </c>
    </row>
    <row r="20" spans="1:12">
      <c r="A20">
        <v>9</v>
      </c>
      <c r="B20" s="5">
        <v>48043</v>
      </c>
      <c r="C20" s="18">
        <v>0.84757139217307043</v>
      </c>
      <c r="D20" s="18">
        <v>0.82878111312407454</v>
      </c>
      <c r="E20" s="18">
        <v>2.73135531920118E-2</v>
      </c>
      <c r="F20" s="18">
        <v>0.50555555555555554</v>
      </c>
      <c r="G20" s="18">
        <v>2.0830000000000002</v>
      </c>
      <c r="H20" s="18">
        <v>1.005555555555556</v>
      </c>
      <c r="I20" s="18">
        <v>8.3310575338641879</v>
      </c>
      <c r="J20" s="18">
        <f t="shared" si="0"/>
        <v>0.1734435366843462</v>
      </c>
    </row>
    <row r="21" spans="1:12">
      <c r="A21">
        <v>9.5</v>
      </c>
      <c r="B21" s="5">
        <v>48225</v>
      </c>
      <c r="C21" s="18">
        <v>0.83669069416023167</v>
      </c>
      <c r="D21" s="18">
        <v>0.81711882271219038</v>
      </c>
      <c r="E21" s="18">
        <v>2.8236771671545199E-2</v>
      </c>
      <c r="F21" s="18">
        <v>0.50555555555555554</v>
      </c>
      <c r="G21" s="18"/>
      <c r="H21" s="18"/>
      <c r="I21" s="18"/>
      <c r="J21" s="18">
        <f t="shared" si="0"/>
        <v>0.18538751119687136</v>
      </c>
    </row>
    <row r="22" spans="1:12">
      <c r="A22">
        <v>10</v>
      </c>
      <c r="B22" s="5">
        <v>48407</v>
      </c>
      <c r="C22" s="18">
        <v>0.8257303052243582</v>
      </c>
      <c r="D22" s="18">
        <v>0.80547248666946025</v>
      </c>
      <c r="E22" s="18">
        <v>2.8600242760871801E-2</v>
      </c>
      <c r="F22" s="18">
        <v>0.50555555555555554</v>
      </c>
      <c r="G22" s="18">
        <v>2.1560000000000001</v>
      </c>
      <c r="H22" s="18">
        <v>0.99444444444444446</v>
      </c>
      <c r="I22" s="18">
        <v>9.152200448503967</v>
      </c>
      <c r="J22" s="18">
        <f t="shared" si="0"/>
        <v>0.19732675527344198</v>
      </c>
    </row>
    <row r="23" spans="1:12">
      <c r="A23">
        <v>10.5</v>
      </c>
      <c r="B23" s="5">
        <v>48591</v>
      </c>
      <c r="C23" s="18">
        <v>0.8146912703004634</v>
      </c>
      <c r="D23" s="18">
        <v>0.79392771566848708</v>
      </c>
      <c r="E23" s="18">
        <v>2.8450443271989499E-2</v>
      </c>
      <c r="F23" s="18">
        <v>0.51111111111111107</v>
      </c>
      <c r="G23" s="18"/>
      <c r="H23" s="18"/>
      <c r="I23" s="18"/>
      <c r="J23" s="18">
        <f t="shared" si="0"/>
        <v>0.20917345613359695</v>
      </c>
    </row>
    <row r="24" spans="1:12">
      <c r="A24">
        <v>11</v>
      </c>
      <c r="B24" s="5">
        <v>48772</v>
      </c>
      <c r="C24" s="18">
        <v>0.8037668893231964</v>
      </c>
      <c r="D24" s="18">
        <v>0.78267545028228147</v>
      </c>
      <c r="E24" s="18">
        <v>2.8594478516200401E-2</v>
      </c>
      <c r="F24" s="18">
        <v>0.50277777777777777</v>
      </c>
      <c r="G24" s="18">
        <v>2.2170000000000001</v>
      </c>
      <c r="H24" s="18">
        <v>1</v>
      </c>
      <c r="I24" s="18">
        <v>9.9559673378271629</v>
      </c>
      <c r="J24" s="18">
        <f t="shared" si="0"/>
        <v>0.22072894614423624</v>
      </c>
      <c r="L24" s="17"/>
    </row>
    <row r="25" spans="1:12">
      <c r="A25">
        <v>11.5</v>
      </c>
      <c r="B25" s="5">
        <v>48956</v>
      </c>
      <c r="C25" s="18">
        <v>0.79251290448087985</v>
      </c>
      <c r="D25" s="18">
        <v>0.77121663179798594</v>
      </c>
      <c r="E25" s="18">
        <v>2.90702074422408E-2</v>
      </c>
      <c r="F25" s="18">
        <v>0.51111111111111107</v>
      </c>
      <c r="G25" s="18"/>
      <c r="H25" s="18"/>
      <c r="I25" s="18"/>
      <c r="J25" s="18">
        <f t="shared" si="0"/>
        <v>0.23250418690601346</v>
      </c>
    </row>
    <row r="26" spans="1:12">
      <c r="A26">
        <v>12</v>
      </c>
      <c r="B26" s="5">
        <v>49137</v>
      </c>
      <c r="C26" s="18">
        <v>0.78150798192835358</v>
      </c>
      <c r="D26" s="18">
        <v>0.76007457235941267</v>
      </c>
      <c r="E26" s="18">
        <v>2.9156352552981098E-2</v>
      </c>
      <c r="F26" s="18">
        <v>0.50277777777777777</v>
      </c>
      <c r="G26" s="18">
        <v>2.2719999999999998</v>
      </c>
      <c r="H26" s="18">
        <v>1</v>
      </c>
      <c r="I26" s="18">
        <v>10.73747531975552</v>
      </c>
      <c r="J26" s="18">
        <f t="shared" si="0"/>
        <v>0.24396044225650515</v>
      </c>
    </row>
    <row r="27" spans="1:12">
      <c r="A27">
        <v>12.5</v>
      </c>
      <c r="B27" s="5">
        <v>49321</v>
      </c>
      <c r="C27" s="18">
        <v>0.77061478256932514</v>
      </c>
      <c r="D27" s="18">
        <v>0.74906175653772222</v>
      </c>
      <c r="E27" s="18">
        <v>2.8765069603566101E-2</v>
      </c>
      <c r="F27" s="18">
        <v>0.51111111111111107</v>
      </c>
      <c r="G27" s="18"/>
      <c r="H27" s="18"/>
      <c r="I27" s="18"/>
      <c r="J27" s="18">
        <f t="shared" si="0"/>
        <v>0.25529013382844523</v>
      </c>
    </row>
    <row r="28" spans="1:12">
      <c r="A28">
        <v>13</v>
      </c>
      <c r="B28" s="5">
        <v>49502</v>
      </c>
      <c r="C28" s="18">
        <v>0.76021383187024028</v>
      </c>
      <c r="D28" s="18">
        <v>0.73859675986976769</v>
      </c>
      <c r="E28" s="18">
        <v>2.81809495309472E-2</v>
      </c>
      <c r="F28" s="18">
        <v>0.50277777777777777</v>
      </c>
      <c r="G28" s="18">
        <v>2.3140000000000001</v>
      </c>
      <c r="H28" s="18">
        <v>1</v>
      </c>
      <c r="I28" s="18">
        <v>11.49768915162576</v>
      </c>
      <c r="J28" s="18">
        <f t="shared" si="0"/>
        <v>0.26606141749730089</v>
      </c>
    </row>
    <row r="29" spans="1:12">
      <c r="A29">
        <v>13.5</v>
      </c>
      <c r="B29" s="5">
        <v>49688</v>
      </c>
      <c r="C29" s="18">
        <v>0.7498602714689413</v>
      </c>
      <c r="D29" s="18">
        <v>0.72826345785213376</v>
      </c>
      <c r="E29" s="18">
        <v>2.7462505736529301E-2</v>
      </c>
      <c r="F29" s="18">
        <v>0.51666666666666672</v>
      </c>
      <c r="G29" s="18"/>
      <c r="H29" s="18"/>
      <c r="I29" s="18"/>
      <c r="J29" s="18">
        <f t="shared" si="0"/>
        <v>0.27670115586748667</v>
      </c>
    </row>
    <row r="30" spans="1:12">
      <c r="A30">
        <v>14</v>
      </c>
      <c r="B30" s="5">
        <v>49870</v>
      </c>
      <c r="C30" s="18">
        <v>0.74018567472833596</v>
      </c>
      <c r="D30" s="18">
        <v>0.71863740591193315</v>
      </c>
      <c r="E30" s="18">
        <v>2.6495339851027901E-2</v>
      </c>
      <c r="F30" s="18">
        <v>0.50555555555555554</v>
      </c>
      <c r="G30" s="18">
        <v>2.342000000000001</v>
      </c>
      <c r="H30" s="18">
        <v>1.005555555555556</v>
      </c>
      <c r="I30" s="18">
        <v>12.241986968991471</v>
      </c>
      <c r="J30" s="18">
        <f t="shared" si="0"/>
        <v>0.28661584398657475</v>
      </c>
    </row>
    <row r="31" spans="1:12">
      <c r="A31">
        <v>14.5</v>
      </c>
      <c r="B31" s="5">
        <v>50052</v>
      </c>
      <c r="C31" s="18">
        <v>0.73104788279616695</v>
      </c>
      <c r="D31" s="18">
        <v>0.7095309602972194</v>
      </c>
      <c r="E31" s="18">
        <v>2.5383289016291E-2</v>
      </c>
      <c r="F31" s="18">
        <v>0.50555555555555554</v>
      </c>
      <c r="G31" s="18"/>
      <c r="H31" s="18"/>
      <c r="I31" s="18"/>
      <c r="J31" s="18">
        <f t="shared" si="0"/>
        <v>0.29599713494286589</v>
      </c>
    </row>
    <row r="32" spans="1:12">
      <c r="A32">
        <v>15</v>
      </c>
      <c r="B32" s="5">
        <v>50234</v>
      </c>
      <c r="C32" s="18">
        <v>0.72227737271592507</v>
      </c>
      <c r="D32" s="18">
        <v>0.700838160456415</v>
      </c>
      <c r="E32" s="18">
        <v>2.4534264978464001E-2</v>
      </c>
      <c r="F32" s="18">
        <v>0.50555555555555554</v>
      </c>
      <c r="G32" s="18">
        <v>2.3530000000000002</v>
      </c>
      <c r="H32" s="18">
        <v>0.99722222222222223</v>
      </c>
      <c r="I32" s="18">
        <v>12.962258015672081</v>
      </c>
      <c r="J32" s="18">
        <f t="shared" si="0"/>
        <v>0.30495585463711411</v>
      </c>
    </row>
    <row r="33" spans="1:10">
      <c r="A33">
        <v>15.5</v>
      </c>
      <c r="B33" s="5">
        <v>50417</v>
      </c>
      <c r="C33" s="18">
        <v>0.71366212197997081</v>
      </c>
      <c r="D33" s="18">
        <v>0.69241736243795082</v>
      </c>
      <c r="E33" s="18">
        <v>2.3922987110430501E-2</v>
      </c>
      <c r="F33" s="18">
        <v>0.5083333333333333</v>
      </c>
      <c r="G33" s="18"/>
      <c r="H33" s="18"/>
      <c r="I33" s="18"/>
      <c r="J33" s="18">
        <f t="shared" si="0"/>
        <v>0.31363459392432319</v>
      </c>
    </row>
    <row r="34" spans="1:10">
      <c r="A34">
        <v>16</v>
      </c>
      <c r="B34" s="5">
        <v>50598</v>
      </c>
      <c r="C34" s="18">
        <v>0.70541109112485312</v>
      </c>
      <c r="D34" s="18">
        <v>0.68446812486706743</v>
      </c>
      <c r="E34" s="18">
        <v>2.3099159315272899E-2</v>
      </c>
      <c r="F34" s="18">
        <v>0.50277777777777777</v>
      </c>
      <c r="G34" s="18">
        <v>2.355</v>
      </c>
      <c r="H34" s="18">
        <v>0.99722222222222223</v>
      </c>
      <c r="I34" s="18">
        <v>13.6657096315438</v>
      </c>
      <c r="J34" s="18">
        <f t="shared" si="0"/>
        <v>0.32182705774369619</v>
      </c>
    </row>
    <row r="35" spans="1:10">
      <c r="A35">
        <v>16.5</v>
      </c>
      <c r="B35" s="5">
        <v>50782</v>
      </c>
      <c r="C35" s="18">
        <v>0.69740868440821069</v>
      </c>
      <c r="D35" s="18">
        <v>0.67685350673892697</v>
      </c>
      <c r="E35" s="18">
        <v>2.2010916327615201E-2</v>
      </c>
      <c r="F35" s="18">
        <v>0.51111111111111107</v>
      </c>
      <c r="G35" s="18"/>
      <c r="H35" s="18"/>
      <c r="I35" s="18"/>
      <c r="J35" s="18">
        <f t="shared" si="0"/>
        <v>0.32967292211190086</v>
      </c>
    </row>
    <row r="36" spans="1:10">
      <c r="A36">
        <v>17</v>
      </c>
      <c r="B36" s="5">
        <v>50963</v>
      </c>
      <c r="C36" s="18">
        <v>0.68996315335641056</v>
      </c>
      <c r="D36" s="18">
        <v>0.66981104102760358</v>
      </c>
      <c r="E36" s="18">
        <v>2.0912038267508801E-2</v>
      </c>
      <c r="F36" s="18">
        <v>0.50277777777777777</v>
      </c>
      <c r="G36" s="18">
        <v>2.347</v>
      </c>
      <c r="H36" s="18">
        <v>1</v>
      </c>
      <c r="I36" s="18">
        <v>14.355672784900211</v>
      </c>
      <c r="J36" s="18">
        <f t="shared" ref="J36:J67" si="1">J35+(E36*F36*C36)</f>
        <v>0.33692726931127592</v>
      </c>
    </row>
    <row r="37" spans="1:10">
      <c r="A37">
        <v>17.5</v>
      </c>
      <c r="B37" s="5">
        <v>51147</v>
      </c>
      <c r="C37" s="18">
        <v>0.68282994441576605</v>
      </c>
      <c r="D37" s="18">
        <v>0.66306691465186141</v>
      </c>
      <c r="E37" s="18">
        <v>1.9899997381878601E-2</v>
      </c>
      <c r="F37" s="18">
        <v>0.51111111111111107</v>
      </c>
      <c r="G37" s="18"/>
      <c r="H37" s="18"/>
      <c r="I37" s="18"/>
      <c r="J37" s="18">
        <f t="shared" si="1"/>
        <v>0.34387240763219296</v>
      </c>
    </row>
    <row r="38" spans="1:10">
      <c r="A38">
        <v>18</v>
      </c>
      <c r="B38" s="5">
        <v>51329</v>
      </c>
      <c r="C38" s="18">
        <v>0.67609185802575111</v>
      </c>
      <c r="D38" s="18">
        <v>0.65673579124496839</v>
      </c>
      <c r="E38" s="18">
        <v>1.90687052713602E-2</v>
      </c>
      <c r="F38" s="18">
        <v>0.50555555555555554</v>
      </c>
      <c r="G38" s="18">
        <v>2.331</v>
      </c>
      <c r="H38" s="18">
        <v>1</v>
      </c>
      <c r="I38" s="18">
        <v>15.031764642925969</v>
      </c>
      <c r="J38" s="18">
        <f t="shared" si="1"/>
        <v>0.35039012913392853</v>
      </c>
    </row>
    <row r="39" spans="1:10">
      <c r="A39">
        <v>18.5</v>
      </c>
      <c r="B39" s="5">
        <v>51515</v>
      </c>
      <c r="C39" s="18">
        <v>0.66942332733091914</v>
      </c>
      <c r="D39" s="18">
        <v>0.65055591075883357</v>
      </c>
      <c r="E39" s="18">
        <v>1.8385904743329899E-2</v>
      </c>
      <c r="F39" s="18">
        <v>0.51666666666666672</v>
      </c>
      <c r="G39" s="18"/>
      <c r="H39" s="18"/>
      <c r="I39" s="18"/>
      <c r="J39" s="18">
        <f t="shared" si="1"/>
        <v>0.35674923845738432</v>
      </c>
    </row>
    <row r="40" spans="1:10">
      <c r="A40">
        <v>19</v>
      </c>
      <c r="B40" s="5">
        <v>51694</v>
      </c>
      <c r="C40" s="18">
        <v>0.66324213984716596</v>
      </c>
      <c r="D40" s="18">
        <v>0.6449111569909729</v>
      </c>
      <c r="E40" s="18">
        <v>1.75973078822565E-2</v>
      </c>
      <c r="F40" s="18">
        <v>0.49722222222222218</v>
      </c>
      <c r="G40" s="18">
        <v>2.31</v>
      </c>
      <c r="H40" s="18">
        <v>1</v>
      </c>
      <c r="I40" s="18">
        <v>15.695006782773129</v>
      </c>
      <c r="J40" s="18">
        <f t="shared" si="1"/>
        <v>0.36255245631358574</v>
      </c>
    </row>
    <row r="41" spans="1:10">
      <c r="A41">
        <v>19.5</v>
      </c>
      <c r="B41" s="5">
        <v>51879</v>
      </c>
      <c r="C41" s="18">
        <v>0.65713526584249904</v>
      </c>
      <c r="D41" s="18">
        <v>0.63940852927721736</v>
      </c>
      <c r="E41" s="18">
        <v>1.6746439250249601E-2</v>
      </c>
      <c r="F41" s="18">
        <v>0.51388888888888884</v>
      </c>
      <c r="G41" s="18"/>
      <c r="H41" s="18"/>
      <c r="I41" s="18"/>
      <c r="J41" s="18">
        <f t="shared" si="1"/>
        <v>0.36820763693746406</v>
      </c>
    </row>
    <row r="42" spans="1:10">
      <c r="A42">
        <v>20</v>
      </c>
      <c r="B42" s="5">
        <v>52061</v>
      </c>
      <c r="C42" s="18">
        <v>0.65135462223894658</v>
      </c>
      <c r="D42" s="18">
        <v>0.63424325968494244</v>
      </c>
      <c r="E42" s="18">
        <v>1.6108987553141298E-2</v>
      </c>
      <c r="F42" s="18">
        <v>0.50555555555555554</v>
      </c>
      <c r="G42" s="18">
        <v>2.2850000000000001</v>
      </c>
      <c r="H42" s="18">
        <v>1.005555555555556</v>
      </c>
      <c r="I42" s="18">
        <v>16.34998004180229</v>
      </c>
      <c r="J42" s="18">
        <f t="shared" si="1"/>
        <v>0.37351226126364112</v>
      </c>
    </row>
    <row r="43" spans="1:10">
      <c r="A43">
        <v>20.5</v>
      </c>
      <c r="B43" s="5">
        <v>52243</v>
      </c>
      <c r="C43" s="18">
        <v>0.64573914209288952</v>
      </c>
      <c r="D43" s="18">
        <v>0.62923895877524105</v>
      </c>
      <c r="E43" s="18">
        <v>1.57299670783482E-2</v>
      </c>
      <c r="F43" s="18">
        <v>0.50555555555555554</v>
      </c>
      <c r="G43" s="18"/>
      <c r="H43" s="18"/>
      <c r="I43" s="18"/>
      <c r="J43" s="18">
        <f t="shared" si="1"/>
        <v>0.37864741929483725</v>
      </c>
    </row>
    <row r="44" spans="1:10">
      <c r="A44">
        <v>21</v>
      </c>
      <c r="B44" s="5">
        <v>52425</v>
      </c>
      <c r="C44" s="18">
        <v>0.6402741031535254</v>
      </c>
      <c r="D44" s="18">
        <v>0.62437792638072032</v>
      </c>
      <c r="E44" s="18">
        <v>1.53996938488435E-2</v>
      </c>
      <c r="F44" s="18">
        <v>0.50555555555555554</v>
      </c>
      <c r="G44" s="18"/>
      <c r="H44" s="18"/>
      <c r="I44" s="18"/>
      <c r="J44" s="18">
        <f t="shared" si="1"/>
        <v>0.38363220979639029</v>
      </c>
    </row>
    <row r="45" spans="1:10">
      <c r="A45">
        <v>21.5</v>
      </c>
      <c r="B45" s="5">
        <v>52608</v>
      </c>
      <c r="C45" s="18">
        <v>0.634927113266328</v>
      </c>
      <c r="D45" s="18">
        <v>0.61963339874338974</v>
      </c>
      <c r="E45" s="18">
        <v>1.5062316009954399E-2</v>
      </c>
      <c r="F45" s="18">
        <v>0.5083333333333333</v>
      </c>
      <c r="G45" s="18"/>
      <c r="H45" s="18"/>
      <c r="I45" s="18"/>
      <c r="J45" s="18">
        <f t="shared" si="1"/>
        <v>0.38849364181490392</v>
      </c>
    </row>
    <row r="46" spans="1:10">
      <c r="A46">
        <v>22</v>
      </c>
      <c r="B46" s="5">
        <v>52790</v>
      </c>
      <c r="C46" s="18">
        <v>0.62975313698155089</v>
      </c>
      <c r="D46" s="18">
        <v>0.61505604443203954</v>
      </c>
      <c r="E46" s="18">
        <v>1.47207844081999E-2</v>
      </c>
      <c r="F46" s="18">
        <v>0.50555555555555554</v>
      </c>
      <c r="G46" s="18"/>
      <c r="H46" s="18"/>
      <c r="I46" s="18"/>
      <c r="J46" s="18">
        <f t="shared" si="1"/>
        <v>0.39318037445129428</v>
      </c>
    </row>
    <row r="47" spans="1:10">
      <c r="A47">
        <v>22.5</v>
      </c>
      <c r="B47" s="5">
        <v>52974</v>
      </c>
      <c r="C47" s="18">
        <v>0.6246646569460953</v>
      </c>
      <c r="D47" s="18">
        <v>0.61057042362918235</v>
      </c>
      <c r="E47" s="18">
        <v>1.4373795838521899E-2</v>
      </c>
      <c r="F47" s="18">
        <v>0.51111111111111107</v>
      </c>
      <c r="G47" s="18"/>
      <c r="H47" s="18"/>
      <c r="I47" s="18"/>
      <c r="J47" s="18">
        <f t="shared" si="1"/>
        <v>0.39776954004394138</v>
      </c>
    </row>
    <row r="48" spans="1:10">
      <c r="A48">
        <v>23</v>
      </c>
      <c r="B48" s="5">
        <v>53155</v>
      </c>
      <c r="C48" s="18">
        <v>0.61979555389178442</v>
      </c>
      <c r="D48" s="18">
        <v>0.60629619276544222</v>
      </c>
      <c r="E48" s="18">
        <v>1.40215834415629E-2</v>
      </c>
      <c r="F48" s="18">
        <v>0.50277777777777777</v>
      </c>
      <c r="G48" s="18"/>
      <c r="H48" s="18"/>
      <c r="I48" s="18"/>
      <c r="J48" s="18">
        <f t="shared" si="1"/>
        <v>0.40213893790139749</v>
      </c>
    </row>
    <row r="49" spans="1:10">
      <c r="A49">
        <v>23.5</v>
      </c>
      <c r="B49" s="5">
        <v>53339</v>
      </c>
      <c r="C49" s="18">
        <v>0.61498122338346772</v>
      </c>
      <c r="D49" s="18">
        <v>0.60209061125679897</v>
      </c>
      <c r="E49" s="18">
        <v>1.36662347718224E-2</v>
      </c>
      <c r="F49" s="18">
        <v>0.51111111111111107</v>
      </c>
      <c r="G49" s="18"/>
      <c r="H49" s="18"/>
      <c r="I49" s="18"/>
      <c r="J49" s="18">
        <f t="shared" si="1"/>
        <v>0.40643455987734156</v>
      </c>
    </row>
    <row r="50" spans="1:10">
      <c r="A50">
        <v>24</v>
      </c>
      <c r="B50" s="5">
        <v>53520</v>
      </c>
      <c r="C50" s="18">
        <v>0.61037562509683041</v>
      </c>
      <c r="D50" s="18">
        <v>0.59808983719780817</v>
      </c>
      <c r="E50" s="18">
        <v>1.3304591007762099E-2</v>
      </c>
      <c r="F50" s="18">
        <v>0.50277777777777777</v>
      </c>
      <c r="G50" s="18"/>
      <c r="H50" s="18"/>
      <c r="I50" s="18"/>
      <c r="J50" s="18">
        <f t="shared" si="1"/>
        <v>0.41051751667622127</v>
      </c>
    </row>
    <row r="51" spans="1:10">
      <c r="A51">
        <v>24.5</v>
      </c>
      <c r="B51" s="5">
        <v>53706</v>
      </c>
      <c r="C51" s="18">
        <v>0.60577431036681406</v>
      </c>
      <c r="D51" s="18">
        <v>0.59411834436985755</v>
      </c>
      <c r="E51" s="18">
        <v>1.29380962311729E-2</v>
      </c>
      <c r="F51" s="18">
        <v>0.51666666666666672</v>
      </c>
      <c r="G51" s="18"/>
      <c r="H51" s="18"/>
      <c r="I51" s="18"/>
      <c r="J51" s="18">
        <f t="shared" si="1"/>
        <v>0.41456692594253536</v>
      </c>
    </row>
    <row r="52" spans="1:10">
      <c r="A52">
        <v>25</v>
      </c>
      <c r="B52" s="5">
        <v>53885</v>
      </c>
      <c r="C52" s="18">
        <v>0.60146922482722898</v>
      </c>
      <c r="D52" s="18">
        <v>0.59042925412809355</v>
      </c>
      <c r="E52" s="18">
        <v>1.2563696621126301E-2</v>
      </c>
      <c r="F52" s="18">
        <v>0.49722222222222218</v>
      </c>
      <c r="G52" s="18">
        <v>2.1509999999999998</v>
      </c>
      <c r="H52" s="18">
        <v>1.002777777777778</v>
      </c>
      <c r="I52" s="18">
        <v>20.04276006411229</v>
      </c>
      <c r="J52" s="18">
        <f t="shared" si="1"/>
        <v>0.41832427360729513</v>
      </c>
    </row>
    <row r="53" spans="1:10">
      <c r="A53">
        <v>25.5</v>
      </c>
      <c r="B53" s="5">
        <v>54070</v>
      </c>
      <c r="C53" s="18">
        <v>0.59714179724358019</v>
      </c>
      <c r="D53" s="18">
        <v>0.58675019054605404</v>
      </c>
      <c r="E53" s="18">
        <v>1.22015450147267E-2</v>
      </c>
      <c r="F53" s="18">
        <v>0.51388888888888884</v>
      </c>
      <c r="G53" s="18"/>
      <c r="H53" s="18"/>
      <c r="I53" s="18"/>
      <c r="J53" s="18">
        <f t="shared" si="1"/>
        <v>0.42206849504079469</v>
      </c>
    </row>
    <row r="54" spans="1:10">
      <c r="A54">
        <v>26</v>
      </c>
      <c r="B54" s="5">
        <v>54252</v>
      </c>
      <c r="C54" s="18">
        <v>0.59299302894571138</v>
      </c>
      <c r="D54" s="18">
        <v>0.58325070461122197</v>
      </c>
      <c r="E54" s="18">
        <v>1.1868069830263801E-2</v>
      </c>
      <c r="F54" s="18">
        <v>0.50555555555555554</v>
      </c>
      <c r="G54" s="18"/>
      <c r="H54" s="18"/>
      <c r="I54" s="18"/>
      <c r="J54" s="18">
        <f t="shared" si="1"/>
        <v>0.42562643461607941</v>
      </c>
    </row>
    <row r="55" spans="1:10">
      <c r="A55">
        <v>26.5</v>
      </c>
      <c r="B55" s="5">
        <v>54435</v>
      </c>
      <c r="C55" s="18">
        <v>0.58891583250939061</v>
      </c>
      <c r="D55" s="18">
        <v>0.57983716615897962</v>
      </c>
      <c r="E55" s="18">
        <v>1.15805884799351E-2</v>
      </c>
      <c r="F55" s="18">
        <v>0.5083333333333333</v>
      </c>
      <c r="G55" s="18"/>
      <c r="H55" s="18"/>
      <c r="I55" s="18"/>
      <c r="J55" s="18">
        <f t="shared" si="1"/>
        <v>0.42909326383476432</v>
      </c>
    </row>
    <row r="56" spans="1:10">
      <c r="A56">
        <v>27</v>
      </c>
      <c r="B56" s="5">
        <v>54616</v>
      </c>
      <c r="C56" s="18">
        <v>0.58496282841536662</v>
      </c>
      <c r="D56" s="18">
        <v>0.57655059372333639</v>
      </c>
      <c r="E56" s="18">
        <v>1.13378239913883E-2</v>
      </c>
      <c r="F56" s="18">
        <v>0.50277777777777777</v>
      </c>
      <c r="G56" s="18"/>
      <c r="H56" s="18"/>
      <c r="I56" s="18"/>
      <c r="J56" s="18">
        <f t="shared" si="1"/>
        <v>0.43242778942310917</v>
      </c>
    </row>
    <row r="57" spans="1:10">
      <c r="A57">
        <v>27.5</v>
      </c>
      <c r="B57" s="5">
        <v>54800</v>
      </c>
      <c r="C57" s="18">
        <v>0.58101208887308553</v>
      </c>
      <c r="D57" s="18">
        <v>0.57328687722651306</v>
      </c>
      <c r="E57" s="18">
        <v>1.1138458824115899E-2</v>
      </c>
      <c r="F57" s="18">
        <v>0.51111111111111107</v>
      </c>
      <c r="G57" s="18"/>
      <c r="H57" s="18"/>
      <c r="I57" s="18"/>
      <c r="J57" s="18">
        <f t="shared" si="1"/>
        <v>0.43573548547309154</v>
      </c>
    </row>
    <row r="58" spans="1:10">
      <c r="A58">
        <v>28</v>
      </c>
      <c r="B58" s="5">
        <v>54981</v>
      </c>
      <c r="C58" s="18">
        <v>0.57717966116032426</v>
      </c>
      <c r="D58" s="18">
        <v>0.57013896952900966</v>
      </c>
      <c r="E58" s="18">
        <v>1.09815890846915E-2</v>
      </c>
      <c r="F58" s="18">
        <v>0.50277777777777777</v>
      </c>
      <c r="G58" s="18"/>
      <c r="H58" s="18"/>
      <c r="I58" s="18"/>
      <c r="J58" s="18">
        <f t="shared" si="1"/>
        <v>0.4389222669339517</v>
      </c>
    </row>
    <row r="59" spans="1:10">
      <c r="A59">
        <v>28.5</v>
      </c>
      <c r="B59" s="5">
        <v>55165</v>
      </c>
      <c r="C59" s="18">
        <v>0.57332577765484094</v>
      </c>
      <c r="D59" s="18">
        <v>0.56698905422546453</v>
      </c>
      <c r="E59" s="18">
        <v>1.0869482791382201E-2</v>
      </c>
      <c r="F59" s="18">
        <v>0.51111111111111107</v>
      </c>
      <c r="G59" s="18"/>
      <c r="H59" s="18"/>
      <c r="I59" s="18"/>
      <c r="J59" s="18">
        <f t="shared" si="1"/>
        <v>0.4421073859895901</v>
      </c>
    </row>
    <row r="60" spans="1:10">
      <c r="A60">
        <v>29</v>
      </c>
      <c r="B60" s="5">
        <v>55346</v>
      </c>
      <c r="C60" s="18">
        <v>0.56956397983013385</v>
      </c>
      <c r="D60" s="18">
        <v>0.56392695819486949</v>
      </c>
      <c r="E60" s="18">
        <v>1.07999035290495E-2</v>
      </c>
      <c r="F60" s="18">
        <v>0.50277777777777777</v>
      </c>
      <c r="G60" s="18"/>
      <c r="H60" s="18"/>
      <c r="I60" s="18"/>
      <c r="J60" s="18">
        <f t="shared" si="1"/>
        <v>0.44520009077424966</v>
      </c>
    </row>
    <row r="61" spans="1:10">
      <c r="A61">
        <v>29.5</v>
      </c>
      <c r="B61" s="5">
        <v>55530</v>
      </c>
      <c r="C61" s="18">
        <v>0.56575749067846093</v>
      </c>
      <c r="D61" s="18">
        <v>0.56083828488264831</v>
      </c>
      <c r="E61" s="18">
        <v>1.0775042723228601E-2</v>
      </c>
      <c r="F61" s="18">
        <v>0.51111111111111107</v>
      </c>
      <c r="G61" s="18"/>
      <c r="H61" s="18"/>
      <c r="I61" s="18"/>
      <c r="J61" s="18">
        <f t="shared" si="1"/>
        <v>0.4483158553533626</v>
      </c>
    </row>
    <row r="62" spans="1:10">
      <c r="A62">
        <v>30</v>
      </c>
      <c r="B62" s="5">
        <v>55712</v>
      </c>
      <c r="C62" s="18">
        <v>0.56199826955425991</v>
      </c>
      <c r="D62" s="18">
        <v>0.55779469673686044</v>
      </c>
      <c r="E62" s="18">
        <v>1.0793010904611801E-2</v>
      </c>
      <c r="F62" s="18">
        <v>0.50555555555555554</v>
      </c>
      <c r="G62" s="18">
        <v>2.0209999999999999</v>
      </c>
      <c r="H62" s="18">
        <v>1</v>
      </c>
      <c r="I62" s="18">
        <v>22.334839906326771</v>
      </c>
      <c r="J62" s="18">
        <f t="shared" si="1"/>
        <v>0.45138238015393017</v>
      </c>
    </row>
    <row r="63" spans="1:10">
      <c r="A63">
        <v>30.5</v>
      </c>
      <c r="B63" s="5">
        <v>55897</v>
      </c>
      <c r="C63" s="18">
        <v>0.55817405862420799</v>
      </c>
      <c r="D63" s="18">
        <v>0.55470287369725568</v>
      </c>
      <c r="E63" s="18">
        <v>1.0846384244233899E-2</v>
      </c>
      <c r="F63" s="18">
        <v>0.51388888888888884</v>
      </c>
      <c r="G63" s="18"/>
      <c r="H63" s="18"/>
      <c r="I63" s="18"/>
      <c r="J63" s="18">
        <f t="shared" si="1"/>
        <v>0.45449355101025046</v>
      </c>
    </row>
    <row r="64" spans="1:10">
      <c r="A64">
        <v>31</v>
      </c>
      <c r="B64" s="5">
        <v>56079</v>
      </c>
      <c r="C64" s="18">
        <v>0.55441017461360897</v>
      </c>
      <c r="D64" s="18">
        <v>0.55166414272305053</v>
      </c>
      <c r="E64" s="18">
        <v>1.08955362271776E-2</v>
      </c>
      <c r="F64" s="18">
        <v>0.50555555555555554</v>
      </c>
      <c r="G64" s="18"/>
      <c r="H64" s="18"/>
      <c r="I64" s="18"/>
      <c r="J64" s="18">
        <f t="shared" si="1"/>
        <v>0.45754740794881643</v>
      </c>
    </row>
    <row r="65" spans="1:10">
      <c r="A65">
        <v>31.5</v>
      </c>
      <c r="B65" s="5">
        <v>56261</v>
      </c>
      <c r="C65" s="18">
        <v>0.55064827385461712</v>
      </c>
      <c r="D65" s="18">
        <v>0.5486319065880878</v>
      </c>
      <c r="E65" s="18">
        <v>1.0932826565357399E-2</v>
      </c>
      <c r="F65" s="18">
        <v>0.50555555555555554</v>
      </c>
      <c r="G65" s="18"/>
      <c r="H65" s="18"/>
      <c r="I65" s="18"/>
      <c r="J65" s="18">
        <f t="shared" si="1"/>
        <v>0.46059092422085812</v>
      </c>
    </row>
    <row r="66" spans="1:10">
      <c r="A66">
        <v>32</v>
      </c>
      <c r="B66" s="5">
        <v>56443</v>
      </c>
      <c r="C66" s="18">
        <v>0.546891901283866</v>
      </c>
      <c r="D66" s="18">
        <v>0.54560963384076011</v>
      </c>
      <c r="E66" s="18">
        <v>1.0956774856977301E-2</v>
      </c>
      <c r="F66" s="18">
        <v>0.50555555555555554</v>
      </c>
      <c r="G66" s="18"/>
      <c r="H66" s="18"/>
      <c r="I66" s="18"/>
      <c r="J66" s="18">
        <f t="shared" si="1"/>
        <v>0.46362029977889097</v>
      </c>
    </row>
    <row r="67" spans="1:10">
      <c r="A67">
        <v>32.5</v>
      </c>
      <c r="B67" s="5">
        <v>56626</v>
      </c>
      <c r="C67" s="18">
        <v>0.5431239515609213</v>
      </c>
      <c r="D67" s="18">
        <v>0.54258422783504157</v>
      </c>
      <c r="E67" s="18">
        <v>1.09691991996723E-2</v>
      </c>
      <c r="F67" s="18">
        <v>0.5083333333333333</v>
      </c>
      <c r="G67" s="18"/>
      <c r="H67" s="18"/>
      <c r="I67" s="18"/>
      <c r="J67" s="18">
        <f t="shared" si="1"/>
        <v>0.46664876414307332</v>
      </c>
    </row>
    <row r="68" spans="1:10">
      <c r="A68">
        <v>33</v>
      </c>
      <c r="B68" s="5">
        <v>56807</v>
      </c>
      <c r="C68" s="18">
        <v>0.53940946446737725</v>
      </c>
      <c r="D68" s="18">
        <v>0.53960847472234175</v>
      </c>
      <c r="E68" s="18">
        <v>1.0968369202468299E-2</v>
      </c>
      <c r="F68" s="18">
        <v>0.50277777777777777</v>
      </c>
      <c r="G68" s="18"/>
      <c r="H68" s="18"/>
      <c r="I68" s="18"/>
      <c r="J68" s="18">
        <f t="shared" ref="J68:J99" si="2">J67+(E68*F68*C68)</f>
        <v>0.4696234197834141</v>
      </c>
    </row>
    <row r="69" spans="1:10">
      <c r="A69">
        <v>33.5</v>
      </c>
      <c r="B69" s="5">
        <v>56991</v>
      </c>
      <c r="C69" s="18">
        <v>0.53564926141067259</v>
      </c>
      <c r="D69" s="18">
        <v>0.53660360945520758</v>
      </c>
      <c r="E69" s="18">
        <v>1.0956102632769599E-2</v>
      </c>
      <c r="F69" s="18">
        <v>0.51111111111111107</v>
      </c>
      <c r="G69" s="18"/>
      <c r="H69" s="18"/>
      <c r="I69" s="18"/>
      <c r="J69" s="18">
        <f t="shared" si="2"/>
        <v>0.47262294090592966</v>
      </c>
    </row>
    <row r="70" spans="1:10">
      <c r="A70">
        <v>34</v>
      </c>
      <c r="B70" s="5">
        <v>57173</v>
      </c>
      <c r="C70" s="18">
        <v>0.53194885680512016</v>
      </c>
      <c r="D70" s="18">
        <v>0.53365464410213215</v>
      </c>
      <c r="E70" s="18">
        <v>1.0930511605727E-2</v>
      </c>
      <c r="F70" s="18">
        <v>0.50555555555555554</v>
      </c>
      <c r="G70" s="18"/>
      <c r="H70" s="18"/>
      <c r="I70" s="18"/>
      <c r="J70" s="18">
        <f t="shared" si="2"/>
        <v>0.47556248011103802</v>
      </c>
    </row>
    <row r="71" spans="1:10">
      <c r="A71">
        <v>34.5</v>
      </c>
      <c r="B71" s="5">
        <v>57357</v>
      </c>
      <c r="C71" s="18">
        <v>0.52823009110863162</v>
      </c>
      <c r="D71" s="18">
        <v>0.53069993891946243</v>
      </c>
      <c r="E71" s="18">
        <v>1.0893057448593301E-2</v>
      </c>
      <c r="F71" s="18">
        <v>0.51111111111111107</v>
      </c>
      <c r="G71" s="18"/>
      <c r="H71" s="18"/>
      <c r="I71" s="18"/>
      <c r="J71" s="18">
        <f t="shared" si="2"/>
        <v>0.47850343426117148</v>
      </c>
    </row>
    <row r="72" spans="1:10">
      <c r="A72">
        <v>35</v>
      </c>
      <c r="B72" s="5">
        <v>57538</v>
      </c>
      <c r="C72" s="18">
        <v>0.52459684006245333</v>
      </c>
      <c r="D72" s="18">
        <v>0.52782259332972981</v>
      </c>
      <c r="E72" s="18">
        <v>1.08424636949378E-2</v>
      </c>
      <c r="F72" s="18">
        <v>0.50277777777777777</v>
      </c>
      <c r="G72" s="18">
        <v>1.923</v>
      </c>
      <c r="H72" s="18">
        <v>1</v>
      </c>
      <c r="I72" s="18">
        <v>25.032159696291082</v>
      </c>
      <c r="J72" s="18">
        <f t="shared" si="2"/>
        <v>0.48136319514146864</v>
      </c>
    </row>
    <row r="73" spans="1:10">
      <c r="A73">
        <v>35.5</v>
      </c>
      <c r="B73" s="5">
        <v>57724</v>
      </c>
      <c r="C73" s="18">
        <v>0.52089196930492376</v>
      </c>
      <c r="D73" s="18">
        <v>0.5248990250607739</v>
      </c>
      <c r="E73" s="18">
        <v>1.07802052586819E-2</v>
      </c>
      <c r="F73" s="18">
        <v>0.51666666666666672</v>
      </c>
      <c r="G73" s="18"/>
      <c r="H73" s="18"/>
      <c r="I73" s="18"/>
      <c r="J73" s="18">
        <f t="shared" si="2"/>
        <v>0.48426444502060012</v>
      </c>
    </row>
    <row r="74" spans="1:10">
      <c r="A74">
        <v>36</v>
      </c>
      <c r="B74" s="5">
        <v>57903</v>
      </c>
      <c r="C74" s="18">
        <v>0.51735683932539711</v>
      </c>
      <c r="D74" s="18">
        <v>0.5221203071921855</v>
      </c>
      <c r="E74" s="18">
        <v>1.07032216274824E-2</v>
      </c>
      <c r="F74" s="18">
        <v>0.49722222222222218</v>
      </c>
      <c r="G74" s="18"/>
      <c r="H74" s="18"/>
      <c r="I74" s="18"/>
      <c r="J74" s="18">
        <f t="shared" si="2"/>
        <v>0.4870177558517419</v>
      </c>
    </row>
    <row r="75" spans="1:10">
      <c r="A75">
        <v>36.5</v>
      </c>
      <c r="B75" s="5">
        <v>58088</v>
      </c>
      <c r="C75" s="18">
        <v>0.51373727224032295</v>
      </c>
      <c r="D75" s="18">
        <v>0.51928740042500721</v>
      </c>
      <c r="E75" s="18">
        <v>1.06158621108882E-2</v>
      </c>
      <c r="F75" s="18">
        <v>0.51388888888888884</v>
      </c>
      <c r="G75" s="18"/>
      <c r="H75" s="18"/>
      <c r="I75" s="18"/>
      <c r="J75" s="18">
        <f t="shared" si="2"/>
        <v>0.48982038459622945</v>
      </c>
    </row>
    <row r="76" spans="1:10">
      <c r="A76">
        <v>37</v>
      </c>
      <c r="B76" s="5">
        <v>58270</v>
      </c>
      <c r="C76" s="18">
        <v>0.51021287719542696</v>
      </c>
      <c r="D76" s="18">
        <v>0.51654201597351568</v>
      </c>
      <c r="E76" s="18">
        <v>1.05130475648442E-2</v>
      </c>
      <c r="F76" s="18">
        <v>0.50555555555555554</v>
      </c>
      <c r="G76" s="18"/>
      <c r="H76" s="18"/>
      <c r="I76" s="18"/>
      <c r="J76" s="18">
        <f t="shared" si="2"/>
        <v>0.49253213012067271</v>
      </c>
    </row>
    <row r="77" spans="1:10">
      <c r="A77">
        <v>37.5</v>
      </c>
      <c r="B77" s="5">
        <v>58452</v>
      </c>
      <c r="C77" s="18">
        <v>0.50672726759364373</v>
      </c>
      <c r="D77" s="18">
        <v>0.51384074987513662</v>
      </c>
      <c r="E77" s="18">
        <v>1.0398104339398801E-2</v>
      </c>
      <c r="F77" s="18">
        <v>0.50555555555555554</v>
      </c>
      <c r="G77" s="18"/>
      <c r="H77" s="18"/>
      <c r="I77" s="18"/>
      <c r="J77" s="18">
        <f t="shared" si="2"/>
        <v>0.4951959038595905</v>
      </c>
    </row>
    <row r="78" spans="1:10">
      <c r="A78">
        <v>38</v>
      </c>
      <c r="B78" s="5">
        <v>58634</v>
      </c>
      <c r="C78" s="18">
        <v>0.50328295965269065</v>
      </c>
      <c r="D78" s="18">
        <v>0.51118640050096331</v>
      </c>
      <c r="E78" s="18">
        <v>1.0270933253150399E-2</v>
      </c>
      <c r="F78" s="18">
        <v>0.50555555555555554</v>
      </c>
      <c r="G78" s="18"/>
      <c r="H78" s="18"/>
      <c r="I78" s="18"/>
      <c r="J78" s="18">
        <f t="shared" si="2"/>
        <v>0.49780921440086667</v>
      </c>
    </row>
    <row r="79" spans="1:10">
      <c r="A79">
        <v>38.5</v>
      </c>
      <c r="B79" s="5">
        <v>58818</v>
      </c>
      <c r="C79" s="18">
        <v>0.49984527842257231</v>
      </c>
      <c r="D79" s="18">
        <v>0.50855337125243827</v>
      </c>
      <c r="E79" s="18">
        <v>1.0129868870633E-2</v>
      </c>
      <c r="F79" s="18">
        <v>0.51111111111111107</v>
      </c>
      <c r="G79" s="18"/>
      <c r="H79" s="18"/>
      <c r="I79" s="18"/>
      <c r="J79" s="18">
        <f t="shared" si="2"/>
        <v>0.50039715759861314</v>
      </c>
    </row>
    <row r="80" spans="1:10">
      <c r="A80">
        <v>39</v>
      </c>
      <c r="B80" s="5">
        <v>58999</v>
      </c>
      <c r="C80" s="18">
        <v>0.49650964556268212</v>
      </c>
      <c r="D80" s="18">
        <v>0.50601548457043399</v>
      </c>
      <c r="E80" s="18">
        <v>9.9754465449435996E-3</v>
      </c>
      <c r="F80" s="18">
        <v>0.50277777777777777</v>
      </c>
      <c r="G80" s="18"/>
      <c r="H80" s="18"/>
      <c r="I80" s="18"/>
      <c r="J80" s="18">
        <f t="shared" si="2"/>
        <v>0.50288736838342718</v>
      </c>
    </row>
    <row r="81" spans="1:10">
      <c r="A81">
        <v>39.5</v>
      </c>
      <c r="B81" s="5">
        <v>59183</v>
      </c>
      <c r="C81" s="18">
        <v>0.49316783235733408</v>
      </c>
      <c r="D81" s="18">
        <v>0.50349129580180585</v>
      </c>
      <c r="E81" s="18">
        <v>9.8087697655727703E-3</v>
      </c>
      <c r="F81" s="18">
        <v>0.51111111111111107</v>
      </c>
      <c r="G81" s="18"/>
      <c r="H81" s="18"/>
      <c r="I81" s="18"/>
      <c r="J81" s="18">
        <f t="shared" si="2"/>
        <v>0.50535980179759898</v>
      </c>
    </row>
    <row r="82" spans="1:10">
      <c r="A82">
        <v>40</v>
      </c>
      <c r="B82" s="5">
        <v>59364</v>
      </c>
      <c r="C82" s="18">
        <v>0.48993103816542471</v>
      </c>
      <c r="D82" s="18">
        <v>0.50106569279954849</v>
      </c>
      <c r="E82" s="18">
        <v>9.6282859328103293E-3</v>
      </c>
      <c r="F82" s="18">
        <v>0.50277777777777777</v>
      </c>
      <c r="G82" s="18">
        <v>1.843</v>
      </c>
      <c r="H82" s="18">
        <v>1</v>
      </c>
      <c r="I82" s="18">
        <v>27.549491555734601</v>
      </c>
      <c r="J82" s="18">
        <f t="shared" si="2"/>
        <v>0.50773150318157001</v>
      </c>
    </row>
    <row r="83" spans="1:10">
      <c r="A83">
        <v>40.5</v>
      </c>
      <c r="B83" s="5">
        <v>59548</v>
      </c>
      <c r="C83" s="18">
        <v>0.48669362634470931</v>
      </c>
      <c r="D83" s="18">
        <v>0.49865975423065317</v>
      </c>
      <c r="E83" s="18">
        <v>9.4398456525104004E-3</v>
      </c>
      <c r="F83" s="18">
        <v>0.51111111111111107</v>
      </c>
      <c r="G83" s="18"/>
      <c r="H83" s="18"/>
      <c r="I83" s="18"/>
      <c r="J83" s="18">
        <f t="shared" si="2"/>
        <v>0.51007970745697795</v>
      </c>
    </row>
    <row r="84" spans="1:10">
      <c r="A84">
        <v>41</v>
      </c>
      <c r="B84" s="5">
        <v>59729</v>
      </c>
      <c r="C84" s="18">
        <v>0.4835606296701902</v>
      </c>
      <c r="D84" s="18">
        <v>0.49634912885889831</v>
      </c>
      <c r="E84" s="18">
        <v>9.2590451040213406E-3</v>
      </c>
      <c r="F84" s="18">
        <v>0.50277777777777777</v>
      </c>
      <c r="G84" s="18"/>
      <c r="H84" s="18"/>
      <c r="I84" s="18"/>
      <c r="J84" s="18">
        <f t="shared" si="2"/>
        <v>0.51233079926863567</v>
      </c>
    </row>
    <row r="85" spans="1:10">
      <c r="A85">
        <v>41.5</v>
      </c>
      <c r="B85" s="5">
        <v>59915</v>
      </c>
      <c r="C85" s="18">
        <v>0.48039334667767708</v>
      </c>
      <c r="D85" s="18">
        <v>0.49402867581010651</v>
      </c>
      <c r="E85" s="18">
        <v>9.0909691464970098E-3</v>
      </c>
      <c r="F85" s="18">
        <v>0.51666666666666672</v>
      </c>
      <c r="G85" s="18"/>
      <c r="H85" s="18"/>
      <c r="I85" s="18"/>
      <c r="J85" s="18">
        <f t="shared" si="2"/>
        <v>0.51458720716659745</v>
      </c>
    </row>
    <row r="86" spans="1:10">
      <c r="A86">
        <v>42</v>
      </c>
      <c r="B86" s="5">
        <v>60097</v>
      </c>
      <c r="C86" s="18">
        <v>0.4773444128346101</v>
      </c>
      <c r="D86" s="18">
        <v>0.49180732439275149</v>
      </c>
      <c r="E86" s="18">
        <v>8.9341530849784603E-3</v>
      </c>
      <c r="F86" s="18">
        <v>0.50555555555555554</v>
      </c>
      <c r="G86" s="18"/>
      <c r="H86" s="18"/>
      <c r="I86" s="18"/>
      <c r="J86" s="18">
        <f t="shared" si="2"/>
        <v>0.51674323379618436</v>
      </c>
    </row>
    <row r="87" spans="1:10">
      <c r="A87">
        <v>42.5</v>
      </c>
      <c r="B87" s="5">
        <v>60279</v>
      </c>
      <c r="C87" s="18">
        <v>0.47434415945888991</v>
      </c>
      <c r="D87" s="18">
        <v>0.4896309584163458</v>
      </c>
      <c r="E87" s="18">
        <v>8.7916116448463408E-3</v>
      </c>
      <c r="F87" s="18">
        <v>0.50555555555555554</v>
      </c>
      <c r="G87" s="18"/>
      <c r="H87" s="18"/>
      <c r="I87" s="18"/>
      <c r="J87" s="18">
        <f t="shared" si="2"/>
        <v>0.51885152666769929</v>
      </c>
    </row>
    <row r="88" spans="1:10">
      <c r="A88">
        <v>43</v>
      </c>
      <c r="B88" s="5">
        <v>60461</v>
      </c>
      <c r="C88" s="18">
        <v>0.47139160614948861</v>
      </c>
      <c r="D88" s="18">
        <v>0.48749599328334481</v>
      </c>
      <c r="E88" s="18">
        <v>8.6626516188248893E-3</v>
      </c>
      <c r="F88" s="18">
        <v>0.50555555555555554</v>
      </c>
      <c r="G88" s="18"/>
      <c r="H88" s="18"/>
      <c r="I88" s="18"/>
      <c r="J88" s="18">
        <f t="shared" si="2"/>
        <v>0.52091596341586666</v>
      </c>
    </row>
    <row r="89" spans="1:10">
      <c r="A89">
        <v>43.5</v>
      </c>
      <c r="B89" s="5">
        <v>60644</v>
      </c>
      <c r="C89" s="18">
        <v>0.46846995448104201</v>
      </c>
      <c r="D89" s="18">
        <v>0.48538748473141352</v>
      </c>
      <c r="E89" s="18">
        <v>8.5453174166054604E-3</v>
      </c>
      <c r="F89" s="18">
        <v>0.5083333333333333</v>
      </c>
      <c r="G89" s="18"/>
      <c r="H89" s="18"/>
      <c r="I89" s="18"/>
      <c r="J89" s="18">
        <f t="shared" si="2"/>
        <v>0.5229509358503015</v>
      </c>
    </row>
    <row r="90" spans="1:10">
      <c r="A90">
        <v>44</v>
      </c>
      <c r="B90" s="5">
        <v>60825</v>
      </c>
      <c r="C90" s="18">
        <v>0.46562578064583421</v>
      </c>
      <c r="D90" s="18">
        <v>0.48333624725846241</v>
      </c>
      <c r="E90" s="18">
        <v>8.4409339494139791E-3</v>
      </c>
      <c r="F90" s="18">
        <v>0.50277777777777777</v>
      </c>
      <c r="G90" s="18"/>
      <c r="H90" s="18"/>
      <c r="I90" s="18"/>
      <c r="J90" s="18">
        <f t="shared" si="2"/>
        <v>0.52492701162581046</v>
      </c>
    </row>
    <row r="91" spans="1:10">
      <c r="A91">
        <v>44.5</v>
      </c>
      <c r="B91" s="5">
        <v>61009</v>
      </c>
      <c r="C91" s="18">
        <v>0.46277995896916652</v>
      </c>
      <c r="D91" s="18">
        <v>0.48128244372266532</v>
      </c>
      <c r="E91" s="18">
        <v>8.3491748309134205E-3</v>
      </c>
      <c r="F91" s="18">
        <v>0.51111111111111107</v>
      </c>
      <c r="G91" s="18"/>
      <c r="H91" s="18"/>
      <c r="I91" s="18"/>
      <c r="J91" s="18">
        <f t="shared" si="2"/>
        <v>0.52690185847182291</v>
      </c>
    </row>
    <row r="92" spans="1:10">
      <c r="A92">
        <v>45</v>
      </c>
      <c r="B92" s="5">
        <v>61190</v>
      </c>
      <c r="C92" s="18">
        <v>0.46002438942535051</v>
      </c>
      <c r="D92" s="18">
        <v>0.47928971420650379</v>
      </c>
      <c r="E92" s="18">
        <v>8.2694032527044995E-3</v>
      </c>
      <c r="F92" s="18">
        <v>0.50277777777777777</v>
      </c>
      <c r="G92" s="18"/>
      <c r="H92" s="18"/>
      <c r="I92" s="18"/>
      <c r="J92" s="18">
        <f t="shared" si="2"/>
        <v>0.5288144890828923</v>
      </c>
    </row>
    <row r="93" spans="1:10">
      <c r="A93">
        <v>45.5</v>
      </c>
      <c r="B93" s="5">
        <v>61374</v>
      </c>
      <c r="C93" s="18">
        <v>0.45726682763226401</v>
      </c>
      <c r="D93" s="18">
        <v>0.47728865240006779</v>
      </c>
      <c r="E93" s="18">
        <v>8.2028368073458306E-3</v>
      </c>
      <c r="F93" s="18">
        <v>0.51111111111111107</v>
      </c>
      <c r="G93" s="18"/>
      <c r="H93" s="18"/>
      <c r="I93" s="18"/>
      <c r="J93" s="18">
        <f t="shared" si="2"/>
        <v>0.53073160816695997</v>
      </c>
    </row>
    <row r="94" spans="1:10">
      <c r="A94">
        <v>46</v>
      </c>
      <c r="B94" s="5">
        <v>61556</v>
      </c>
      <c r="C94" s="18">
        <v>0.45458169239949059</v>
      </c>
      <c r="D94" s="18">
        <v>0.47533058089557279</v>
      </c>
      <c r="E94" s="18">
        <v>8.1482417208092097E-3</v>
      </c>
      <c r="F94" s="18">
        <v>0.50555555555555554</v>
      </c>
      <c r="G94" s="18"/>
      <c r="H94" s="18"/>
      <c r="I94" s="18"/>
      <c r="J94" s="18">
        <f t="shared" si="2"/>
        <v>0.53260420693112009</v>
      </c>
    </row>
    <row r="95" spans="1:10">
      <c r="A95">
        <v>46.5</v>
      </c>
      <c r="B95" s="5">
        <v>61742</v>
      </c>
      <c r="C95" s="18">
        <v>0.45188028198482799</v>
      </c>
      <c r="D95" s="18">
        <v>0.47334797928999178</v>
      </c>
      <c r="E95" s="18">
        <v>8.1067071119907304E-3</v>
      </c>
      <c r="F95" s="18">
        <v>0.51666666666666672</v>
      </c>
      <c r="G95" s="18"/>
      <c r="H95" s="18"/>
      <c r="I95" s="18"/>
      <c r="J95" s="18">
        <f t="shared" si="2"/>
        <v>0.53449689183058302</v>
      </c>
    </row>
    <row r="96" spans="1:10">
      <c r="A96">
        <v>47</v>
      </c>
      <c r="B96" s="5">
        <v>61921</v>
      </c>
      <c r="C96" s="18">
        <v>0.44932051302385029</v>
      </c>
      <c r="D96" s="18">
        <v>0.47145456425612797</v>
      </c>
      <c r="E96" s="18">
        <v>8.0772026974377208E-3</v>
      </c>
      <c r="F96" s="18">
        <v>0.49722222222222218</v>
      </c>
      <c r="G96" s="18"/>
      <c r="H96" s="18"/>
      <c r="I96" s="18"/>
      <c r="J96" s="18">
        <f t="shared" si="2"/>
        <v>0.53630143700254429</v>
      </c>
    </row>
    <row r="97" spans="1:11">
      <c r="A97">
        <v>47.5</v>
      </c>
      <c r="B97" s="5">
        <v>62106</v>
      </c>
      <c r="C97" s="18">
        <v>0.44671531179977891</v>
      </c>
      <c r="D97" s="18">
        <v>0.46950955127735849</v>
      </c>
      <c r="E97" s="18">
        <v>8.0613698071773897E-3</v>
      </c>
      <c r="F97" s="18">
        <v>0.51388888888888884</v>
      </c>
      <c r="G97" s="18"/>
      <c r="H97" s="18"/>
      <c r="I97" s="18"/>
      <c r="J97" s="18">
        <f t="shared" si="2"/>
        <v>0.53815202146222518</v>
      </c>
    </row>
    <row r="98" spans="1:11">
      <c r="A98">
        <v>48</v>
      </c>
      <c r="B98" s="5">
        <v>62288</v>
      </c>
      <c r="C98" s="18">
        <v>0.44419159681857179</v>
      </c>
      <c r="D98" s="18">
        <v>0.46760479806134042</v>
      </c>
      <c r="E98" s="18">
        <v>8.0573247742801099E-3</v>
      </c>
      <c r="F98" s="18">
        <v>0.50555555555555554</v>
      </c>
      <c r="G98" s="18"/>
      <c r="H98" s="18"/>
      <c r="I98" s="18"/>
      <c r="J98" s="18">
        <f t="shared" si="2"/>
        <v>0.5399614027518872</v>
      </c>
    </row>
    <row r="99" spans="1:11">
      <c r="A99">
        <v>48.5</v>
      </c>
      <c r="B99" s="5">
        <v>62470</v>
      </c>
      <c r="C99" s="18">
        <v>0.44170601590680081</v>
      </c>
      <c r="D99" s="18">
        <v>0.46570569634089187</v>
      </c>
      <c r="E99" s="18">
        <v>8.0664530618313798E-3</v>
      </c>
      <c r="F99" s="18">
        <v>0.50555555555555554</v>
      </c>
      <c r="G99" s="18"/>
      <c r="H99" s="18"/>
      <c r="I99" s="18"/>
      <c r="J99" s="18">
        <f t="shared" si="2"/>
        <v>0.54176269762324336</v>
      </c>
    </row>
    <row r="100" spans="1:11">
      <c r="A100">
        <v>49</v>
      </c>
      <c r="B100" s="5">
        <v>62652</v>
      </c>
      <c r="C100" s="18">
        <v>0.4392578039092318</v>
      </c>
      <c r="D100" s="18">
        <v>0.46380931440043982</v>
      </c>
      <c r="E100" s="18">
        <v>8.0875589180164006E-3</v>
      </c>
      <c r="F100" s="18">
        <v>0.50555555555555554</v>
      </c>
      <c r="G100" s="18"/>
      <c r="H100" s="18"/>
      <c r="I100" s="18"/>
      <c r="J100" s="18">
        <f t="shared" ref="J100:J122" si="3">J99+(E100*F100*C100)</f>
        <v>0.54355869554884118</v>
      </c>
    </row>
    <row r="101" spans="1:11">
      <c r="A101">
        <v>49.5</v>
      </c>
      <c r="B101" s="5">
        <v>62835</v>
      </c>
      <c r="C101" s="18">
        <v>0.43683305994826649</v>
      </c>
      <c r="D101" s="18">
        <v>0.46190234191945129</v>
      </c>
      <c r="E101" s="18">
        <v>8.1218840242567106E-3</v>
      </c>
      <c r="F101" s="18">
        <v>0.5083333333333333</v>
      </c>
      <c r="G101" s="18"/>
      <c r="H101" s="18"/>
      <c r="I101" s="18"/>
      <c r="J101" s="18">
        <f t="shared" si="3"/>
        <v>0.54536221516969552</v>
      </c>
    </row>
    <row r="102" spans="1:11">
      <c r="A102">
        <v>50</v>
      </c>
      <c r="B102" s="5">
        <v>63017</v>
      </c>
      <c r="C102" s="18">
        <v>0.43445754508781198</v>
      </c>
      <c r="D102" s="18">
        <v>0.46000277084258262</v>
      </c>
      <c r="E102" s="18">
        <v>8.1681971871145394E-3</v>
      </c>
      <c r="F102" s="18">
        <v>0.50555555555555554</v>
      </c>
      <c r="G102" s="18">
        <v>1.7030000000000001</v>
      </c>
      <c r="H102" s="18">
        <v>0.99722222222222223</v>
      </c>
      <c r="I102" s="18">
        <v>32.129337357042132</v>
      </c>
      <c r="J102" s="18">
        <f t="shared" si="3"/>
        <v>0.54715629781242514</v>
      </c>
      <c r="K102" s="3"/>
    </row>
    <row r="103" spans="1:11">
      <c r="A103">
        <v>50.5</v>
      </c>
      <c r="B103" s="5">
        <v>63201</v>
      </c>
      <c r="C103" s="18">
        <v>0.43209151992901568</v>
      </c>
      <c r="D103" s="18">
        <v>0.45807702898065161</v>
      </c>
      <c r="E103" s="18">
        <v>8.2251577321086899E-3</v>
      </c>
      <c r="F103" s="18">
        <v>0.51111111111111107</v>
      </c>
      <c r="G103" s="18"/>
      <c r="H103" s="18"/>
      <c r="I103" s="18"/>
      <c r="J103" s="18">
        <f t="shared" si="3"/>
        <v>0.5489727973866656</v>
      </c>
    </row>
    <row r="104" spans="1:11">
      <c r="A104">
        <v>51</v>
      </c>
      <c r="B104" s="5">
        <v>63382</v>
      </c>
      <c r="C104" s="18">
        <v>0.42979759775090948</v>
      </c>
      <c r="D104" s="18">
        <v>0.45617770642395977</v>
      </c>
      <c r="E104" s="18">
        <v>8.2811107833842199E-3</v>
      </c>
      <c r="F104" s="18">
        <v>0.50277777777777777</v>
      </c>
      <c r="G104" s="18"/>
      <c r="H104" s="18"/>
      <c r="I104" s="18"/>
      <c r="J104" s="18">
        <f t="shared" si="3"/>
        <v>0.55076228481826228</v>
      </c>
    </row>
    <row r="105" spans="1:11">
      <c r="A105">
        <v>51.5</v>
      </c>
      <c r="B105" s="5">
        <v>63566</v>
      </c>
      <c r="C105" s="18">
        <v>0.42749820729406318</v>
      </c>
      <c r="D105" s="18">
        <v>0.45424265881200709</v>
      </c>
      <c r="E105" s="18">
        <v>8.3346701275028908E-3</v>
      </c>
      <c r="F105" s="18">
        <v>0.51111111111111107</v>
      </c>
      <c r="G105" s="18"/>
      <c r="H105" s="18"/>
      <c r="I105" s="18"/>
      <c r="J105" s="18">
        <f t="shared" si="3"/>
        <v>0.55258340260429739</v>
      </c>
    </row>
    <row r="106" spans="1:11">
      <c r="A106">
        <v>52</v>
      </c>
      <c r="B106" s="5">
        <v>63747</v>
      </c>
      <c r="C106" s="18">
        <v>0.42526686220753063</v>
      </c>
      <c r="D106" s="18">
        <v>0.45233577293794869</v>
      </c>
      <c r="E106" s="18">
        <v>8.3847031627381999E-3</v>
      </c>
      <c r="F106" s="18">
        <v>0.50277777777777777</v>
      </c>
      <c r="G106" s="18"/>
      <c r="H106" s="18"/>
      <c r="I106" s="18"/>
      <c r="J106" s="18">
        <f t="shared" si="3"/>
        <v>0.55437617562992303</v>
      </c>
    </row>
    <row r="107" spans="1:11">
      <c r="A107">
        <v>52.5</v>
      </c>
      <c r="B107" s="5">
        <v>63933</v>
      </c>
      <c r="C107" s="18">
        <v>0.42300395048401113</v>
      </c>
      <c r="D107" s="18">
        <v>0.45037351900654238</v>
      </c>
      <c r="E107" s="18">
        <v>8.4328022734497608E-3</v>
      </c>
      <c r="F107" s="18">
        <v>0.51666666666666672</v>
      </c>
      <c r="G107" s="18"/>
      <c r="H107" s="18"/>
      <c r="I107" s="18"/>
      <c r="J107" s="18">
        <f t="shared" si="3"/>
        <v>0.55621918177883822</v>
      </c>
    </row>
    <row r="108" spans="1:11">
      <c r="A108">
        <v>53</v>
      </c>
      <c r="B108" s="5">
        <v>64112</v>
      </c>
      <c r="C108" s="18">
        <v>0.42085359185350152</v>
      </c>
      <c r="D108" s="18">
        <v>0.44848329287351291</v>
      </c>
      <c r="E108" s="18">
        <v>8.4771553101963201E-3</v>
      </c>
      <c r="F108" s="18">
        <v>0.49722222222222218</v>
      </c>
      <c r="G108" s="18"/>
      <c r="H108" s="18"/>
      <c r="I108" s="18"/>
      <c r="J108" s="18">
        <f t="shared" si="3"/>
        <v>0.55799309229472238</v>
      </c>
    </row>
    <row r="109" spans="1:11">
      <c r="A109">
        <v>53.5</v>
      </c>
      <c r="B109" s="5">
        <v>64297</v>
      </c>
      <c r="C109" s="18">
        <v>0.41865796586185228</v>
      </c>
      <c r="D109" s="18">
        <v>0.44652860355843721</v>
      </c>
      <c r="E109" s="18">
        <v>8.5184234961502292E-3</v>
      </c>
      <c r="F109" s="18">
        <v>0.51388888888888884</v>
      </c>
      <c r="G109" s="18"/>
      <c r="H109" s="18"/>
      <c r="I109" s="18"/>
      <c r="J109" s="18">
        <f t="shared" si="3"/>
        <v>0.55982577724708593</v>
      </c>
    </row>
    <row r="110" spans="1:11">
      <c r="A110">
        <v>54</v>
      </c>
      <c r="B110" s="5">
        <v>64479</v>
      </c>
      <c r="C110" s="18">
        <v>0.41652316909722831</v>
      </c>
      <c r="D110" s="18">
        <v>0.44460526621556679</v>
      </c>
      <c r="E110" s="18">
        <v>8.5568116809111999E-3</v>
      </c>
      <c r="F110" s="18">
        <v>0.50555555555555554</v>
      </c>
      <c r="G110" s="18"/>
      <c r="H110" s="18"/>
      <c r="I110" s="18"/>
      <c r="J110" s="18">
        <f t="shared" si="3"/>
        <v>0.56162763301931828</v>
      </c>
    </row>
    <row r="111" spans="1:11">
      <c r="A111">
        <v>54.5</v>
      </c>
      <c r="B111" s="5">
        <v>64662</v>
      </c>
      <c r="C111" s="18">
        <v>0.41440051403291073</v>
      </c>
      <c r="D111" s="18">
        <v>0.44267175799546321</v>
      </c>
      <c r="E111" s="18">
        <v>8.5926166609796902E-3</v>
      </c>
      <c r="F111" s="18">
        <v>0.5083333333333333</v>
      </c>
      <c r="G111" s="18"/>
      <c r="H111" s="18"/>
      <c r="I111" s="18"/>
      <c r="J111" s="18">
        <f t="shared" si="3"/>
        <v>0.56343769860626047</v>
      </c>
    </row>
    <row r="112" spans="1:11">
      <c r="A112">
        <v>55</v>
      </c>
      <c r="B112" s="5">
        <v>64843</v>
      </c>
      <c r="C112" s="18">
        <v>0.41232330304732701</v>
      </c>
      <c r="D112" s="18">
        <v>0.4407604879776853</v>
      </c>
      <c r="E112" s="18">
        <v>8.6246864987292293E-3</v>
      </c>
      <c r="F112" s="18">
        <v>0.50277777777777777</v>
      </c>
      <c r="G112" s="18"/>
      <c r="H112" s="18"/>
      <c r="I112" s="18"/>
      <c r="J112" s="18">
        <f t="shared" si="3"/>
        <v>0.56522565643878153</v>
      </c>
    </row>
    <row r="113" spans="1:10">
      <c r="A113">
        <v>55.5</v>
      </c>
      <c r="B113" s="5">
        <v>65027</v>
      </c>
      <c r="C113" s="18">
        <v>0.41023303462068861</v>
      </c>
      <c r="D113" s="18">
        <v>0.43881938792169117</v>
      </c>
      <c r="E113" s="18">
        <v>8.6545958585986602E-3</v>
      </c>
      <c r="F113" s="18">
        <v>0.51111111111111107</v>
      </c>
      <c r="G113" s="18"/>
      <c r="H113" s="18"/>
      <c r="I113" s="18"/>
      <c r="J113" s="18">
        <f t="shared" si="3"/>
        <v>0.56704030590138677</v>
      </c>
    </row>
    <row r="114" spans="1:10">
      <c r="A114">
        <v>56</v>
      </c>
      <c r="B114" s="5">
        <v>65208</v>
      </c>
      <c r="C114" s="18">
        <v>0.40819661459807471</v>
      </c>
      <c r="D114" s="18">
        <v>0.43691244865275902</v>
      </c>
      <c r="E114" s="18">
        <v>8.6809322952843097E-3</v>
      </c>
      <c r="F114" s="18">
        <v>0.50277777777777777</v>
      </c>
      <c r="G114" s="18"/>
      <c r="H114" s="18"/>
      <c r="I114" s="18"/>
      <c r="J114" s="18">
        <f t="shared" si="3"/>
        <v>0.56882191261967208</v>
      </c>
    </row>
    <row r="115" spans="1:10">
      <c r="A115">
        <v>56.5</v>
      </c>
      <c r="B115" s="5">
        <v>65392</v>
      </c>
      <c r="C115" s="18">
        <v>0.40614527843017612</v>
      </c>
      <c r="D115" s="18">
        <v>0.43497715428004807</v>
      </c>
      <c r="E115" s="18">
        <v>8.7049296142755594E-3</v>
      </c>
      <c r="F115" s="18">
        <v>0.51111111111111107</v>
      </c>
      <c r="G115" s="18"/>
      <c r="H115" s="18"/>
      <c r="I115" s="18"/>
      <c r="J115" s="18">
        <f t="shared" si="3"/>
        <v>0.57062892860686798</v>
      </c>
    </row>
    <row r="116" spans="1:10">
      <c r="A116">
        <v>57</v>
      </c>
      <c r="B116" s="5">
        <v>65573</v>
      </c>
      <c r="C116" s="18">
        <v>0.40414470883480152</v>
      </c>
      <c r="D116" s="18">
        <v>0.43307728307130727</v>
      </c>
      <c r="E116" s="18">
        <v>8.7253465216486307E-3</v>
      </c>
      <c r="F116" s="18">
        <v>0.50277777777777777</v>
      </c>
      <c r="G116" s="18"/>
      <c r="H116" s="18"/>
      <c r="I116" s="18"/>
      <c r="J116" s="18">
        <f t="shared" si="3"/>
        <v>0.57240187520668706</v>
      </c>
    </row>
    <row r="117" spans="1:10">
      <c r="A117">
        <v>57.5</v>
      </c>
      <c r="B117" s="5">
        <v>65757</v>
      </c>
      <c r="C117" s="18">
        <v>0.40212737607779281</v>
      </c>
      <c r="D117" s="18">
        <v>0.43115052977559809</v>
      </c>
      <c r="E117" s="18">
        <v>8.7434305391164303E-3</v>
      </c>
      <c r="F117" s="18">
        <v>0.51111111111111107</v>
      </c>
      <c r="G117" s="18"/>
      <c r="H117" s="18"/>
      <c r="I117" s="18"/>
      <c r="J117" s="18">
        <f t="shared" si="3"/>
        <v>0.57419892796122274</v>
      </c>
    </row>
    <row r="118" spans="1:10">
      <c r="A118">
        <v>58</v>
      </c>
      <c r="B118" s="5">
        <v>65939</v>
      </c>
      <c r="C118" s="18">
        <v>0.40014705654540328</v>
      </c>
      <c r="D118" s="18">
        <v>0.42924994370055652</v>
      </c>
      <c r="E118" s="18">
        <v>8.7580699374005203E-3</v>
      </c>
      <c r="F118" s="18">
        <v>0.50555555555555554</v>
      </c>
      <c r="G118" s="18"/>
      <c r="H118" s="18"/>
      <c r="I118" s="18"/>
      <c r="J118" s="18">
        <f t="shared" si="3"/>
        <v>0.57597065544727122</v>
      </c>
    </row>
    <row r="119" spans="1:10">
      <c r="A119">
        <v>58.5</v>
      </c>
      <c r="B119" s="5">
        <v>66124</v>
      </c>
      <c r="C119" s="18">
        <v>0.39814828570278787</v>
      </c>
      <c r="D119" s="18">
        <v>0.42732401412408821</v>
      </c>
      <c r="E119" s="18">
        <v>8.77028841729857E-3</v>
      </c>
      <c r="F119" s="18">
        <v>0.51388888888888884</v>
      </c>
      <c r="G119" s="18"/>
      <c r="H119" s="18"/>
      <c r="I119" s="18"/>
      <c r="J119" s="18">
        <f t="shared" si="3"/>
        <v>0.57776509136453869</v>
      </c>
    </row>
    <row r="120" spans="1:10">
      <c r="A120">
        <v>59</v>
      </c>
      <c r="B120" s="5">
        <v>66306</v>
      </c>
      <c r="C120" s="18">
        <v>0.39619474870736199</v>
      </c>
      <c r="D120" s="18">
        <v>0.42543583897085763</v>
      </c>
      <c r="E120" s="18">
        <v>8.7788841684794394E-3</v>
      </c>
      <c r="F120" s="18">
        <v>0.50555555555555554</v>
      </c>
      <c r="G120" s="18"/>
      <c r="H120" s="18"/>
      <c r="I120" s="18"/>
      <c r="J120" s="18">
        <f t="shared" si="3"/>
        <v>0.57952348831144218</v>
      </c>
    </row>
    <row r="121" spans="1:10">
      <c r="A121">
        <v>59.5</v>
      </c>
      <c r="B121" s="5">
        <v>66488</v>
      </c>
      <c r="C121" s="18">
        <v>0.39425281878583501</v>
      </c>
      <c r="D121" s="18">
        <v>0.4235547524322909</v>
      </c>
      <c r="E121" s="18">
        <v>8.7850042128156895E-3</v>
      </c>
      <c r="F121" s="18">
        <v>0.50555555555555554</v>
      </c>
      <c r="G121" s="18"/>
      <c r="H121" s="18"/>
      <c r="I121" s="18"/>
      <c r="J121" s="18">
        <f t="shared" si="3"/>
        <v>0.58127448638549373</v>
      </c>
    </row>
    <row r="122" spans="1:10">
      <c r="A122">
        <v>60</v>
      </c>
      <c r="B122" s="5">
        <v>66670</v>
      </c>
      <c r="C122" s="18">
        <v>0.39232141315840419</v>
      </c>
      <c r="D122" s="18">
        <v>0.42168135874896218</v>
      </c>
      <c r="E122" s="18">
        <v>8.7877109154303693E-3</v>
      </c>
      <c r="F122" s="18">
        <v>0.50555555555555554</v>
      </c>
      <c r="G122" s="18">
        <v>1.609</v>
      </c>
      <c r="H122" s="18">
        <v>0.99722222222222223</v>
      </c>
      <c r="I122" s="18">
        <v>36.236229389371289</v>
      </c>
      <c r="J122" s="18">
        <f t="shared" si="3"/>
        <v>0.58301744334101591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59D12-A996-40CA-9567-18EF9C1426BC}">
  <sheetPr codeName="Sheet14"/>
  <dimension ref="A1:P122"/>
  <sheetViews>
    <sheetView zoomScaleNormal="100" workbookViewId="0">
      <pane ySplit="1" topLeftCell="A2" activePane="bottomLeft" state="frozen"/>
      <selection pane="bottomLeft" activeCell="M1" sqref="M1"/>
    </sheetView>
  </sheetViews>
  <sheetFormatPr defaultColWidth="10.77734375" defaultRowHeight="14.4"/>
  <cols>
    <col min="1" max="1" width="5.109375" bestFit="1" customWidth="1"/>
    <col min="2" max="2" width="10.5546875" bestFit="1" customWidth="1"/>
    <col min="3" max="5" width="9.5546875" bestFit="1" customWidth="1"/>
    <col min="6" max="6" width="12.109375" bestFit="1" customWidth="1"/>
    <col min="7" max="8" width="9.5546875" bestFit="1" customWidth="1"/>
    <col min="9" max="9" width="10.5546875" bestFit="1" customWidth="1"/>
    <col min="10" max="11" width="9.5546875" bestFit="1" customWidth="1"/>
    <col min="12" max="13" width="12.109375" bestFit="1" customWidth="1"/>
    <col min="15" max="15" width="14.6640625" bestFit="1" customWidth="1"/>
    <col min="16" max="16" width="12.109375" bestFit="1" customWidth="1"/>
    <col min="17" max="17" width="12.6640625" bestFit="1" customWidth="1"/>
  </cols>
  <sheetData>
    <row r="1" spans="1:16">
      <c r="A1" s="1" t="s">
        <v>0</v>
      </c>
      <c r="B1" s="1" t="s">
        <v>1</v>
      </c>
      <c r="C1" s="1" t="s">
        <v>2</v>
      </c>
      <c r="D1" s="1" t="s">
        <v>3</v>
      </c>
      <c r="E1" s="1" t="s">
        <v>23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24" t="s">
        <v>19</v>
      </c>
      <c r="L1" s="22"/>
      <c r="M1" s="23" t="s">
        <v>20</v>
      </c>
      <c r="N1" s="18"/>
      <c r="O1" s="18"/>
      <c r="P1" s="18"/>
    </row>
    <row r="2" spans="1:16">
      <c r="A2">
        <v>0</v>
      </c>
      <c r="B2" s="5">
        <v>44754</v>
      </c>
      <c r="D2">
        <v>1</v>
      </c>
      <c r="E2">
        <v>0</v>
      </c>
      <c r="F2">
        <v>0</v>
      </c>
      <c r="G2">
        <v>0</v>
      </c>
      <c r="K2" s="20">
        <f>K3*(1+G3/100*F3)</f>
        <v>0.9999999997217387</v>
      </c>
      <c r="L2" s="18"/>
      <c r="M2" s="18"/>
      <c r="N2" s="18"/>
      <c r="O2" s="18"/>
      <c r="P2" s="18"/>
    </row>
    <row r="3" spans="1:16">
      <c r="A3">
        <v>0.5</v>
      </c>
      <c r="B3" s="5">
        <v>44938</v>
      </c>
      <c r="C3" s="20">
        <v>0.99904288423151055</v>
      </c>
      <c r="D3" s="20">
        <v>0.99801063213993446</v>
      </c>
      <c r="E3" s="20">
        <v>3.89999999999991E-3</v>
      </c>
      <c r="F3" s="20">
        <v>0.51111111111111107</v>
      </c>
      <c r="G3" s="20">
        <v>0.38999924816682341</v>
      </c>
      <c r="H3" s="20"/>
      <c r="I3" s="20"/>
      <c r="J3" s="20">
        <f>E3*F3*C3</f>
        <v>1.9914254825680981E-3</v>
      </c>
      <c r="K3" s="20">
        <f>K4*(1+G4/100*F4)</f>
        <v>0.99801063568965565</v>
      </c>
      <c r="L3" s="18"/>
      <c r="M3" s="18">
        <f t="shared" ref="M3:M5" si="0">K3</f>
        <v>0.99801063568965565</v>
      </c>
      <c r="N3" s="18"/>
      <c r="O3" s="18"/>
      <c r="P3" s="18"/>
    </row>
    <row r="4" spans="1:16">
      <c r="A4">
        <v>1</v>
      </c>
      <c r="B4" s="5">
        <v>45119</v>
      </c>
      <c r="C4" s="20">
        <v>0.99324592130854139</v>
      </c>
      <c r="D4" s="20">
        <v>0.99104474380986662</v>
      </c>
      <c r="E4" s="20">
        <v>1.3979999999904E-2</v>
      </c>
      <c r="F4" s="20">
        <v>0.50277777777777777</v>
      </c>
      <c r="G4" s="20">
        <v>1.3979905443742899</v>
      </c>
      <c r="H4" s="20">
        <v>1</v>
      </c>
      <c r="I4" s="20">
        <v>0.99324592130854139</v>
      </c>
      <c r="J4" s="20">
        <f t="shared" ref="J4:J35" si="1">J3+(E4*F4*C4)</f>
        <v>8.9727855224110108E-3</v>
      </c>
      <c r="K4" s="20">
        <f>K5*(1+G5/100*F5)</f>
        <v>0.99104479412095903</v>
      </c>
      <c r="L4" s="18"/>
      <c r="M4" s="18">
        <f t="shared" si="0"/>
        <v>0.99104479412095903</v>
      </c>
      <c r="N4" s="18"/>
      <c r="O4" s="18"/>
      <c r="P4" s="18"/>
    </row>
    <row r="5" spans="1:16">
      <c r="A5">
        <v>1.5</v>
      </c>
      <c r="B5" s="5">
        <v>45303</v>
      </c>
      <c r="C5" s="20">
        <v>0.9860284425870447</v>
      </c>
      <c r="D5" s="20">
        <v>0.98259746260138792</v>
      </c>
      <c r="E5" s="20">
        <v>1.6819999999980999E-2</v>
      </c>
      <c r="F5" s="20">
        <v>0.51111111111111107</v>
      </c>
      <c r="G5" s="20">
        <v>1.6819861071464641</v>
      </c>
      <c r="H5" s="20"/>
      <c r="I5" s="20"/>
      <c r="J5" s="20">
        <f t="shared" si="1"/>
        <v>1.7449562484606416E-2</v>
      </c>
      <c r="K5" s="20">
        <f>(K6*(G6/100*I6-J5+C6)/C6)</f>
        <v>0.98259758166113598</v>
      </c>
      <c r="L5" s="18"/>
      <c r="M5" s="18">
        <f t="shared" si="0"/>
        <v>0.98259758166113598</v>
      </c>
      <c r="N5" s="18"/>
      <c r="O5" s="18"/>
      <c r="P5" s="18"/>
    </row>
    <row r="6" spans="1:16">
      <c r="A6">
        <v>2</v>
      </c>
      <c r="B6" s="5">
        <v>45485</v>
      </c>
      <c r="C6" s="20">
        <v>0.97878176388692029</v>
      </c>
      <c r="D6" s="20">
        <v>0.97444692296927427</v>
      </c>
      <c r="E6" s="20">
        <v>1.6544714899334002E-2</v>
      </c>
      <c r="F6" s="20">
        <v>0.50555555555555554</v>
      </c>
      <c r="G6" s="20">
        <v>1.2999672781217477</v>
      </c>
      <c r="H6" s="20">
        <v>1</v>
      </c>
      <c r="I6" s="20">
        <v>1.9720276851954619</v>
      </c>
      <c r="J6" s="20">
        <f t="shared" si="1"/>
        <v>2.5636359907540013E-2</v>
      </c>
      <c r="K6" s="20">
        <f>K7*(1+E7*F7)</f>
        <v>0.974447678139722</v>
      </c>
      <c r="L6" s="18"/>
      <c r="M6" s="18">
        <f>K6</f>
        <v>0.974447678139722</v>
      </c>
      <c r="N6" s="18"/>
      <c r="O6" s="18"/>
      <c r="P6" s="18"/>
    </row>
    <row r="7" spans="1:16">
      <c r="A7">
        <v>2.5</v>
      </c>
      <c r="B7" s="5">
        <v>45670</v>
      </c>
      <c r="C7" s="20">
        <v>0.9715063307647499</v>
      </c>
      <c r="D7" s="20">
        <v>0.96605078949251333</v>
      </c>
      <c r="E7" s="20">
        <v>1.69125910132602E-2</v>
      </c>
      <c r="F7" s="20">
        <v>0.51388888888888884</v>
      </c>
      <c r="G7" s="20">
        <v>0</v>
      </c>
      <c r="H7" s="20"/>
      <c r="I7" s="20"/>
      <c r="J7" s="20">
        <f t="shared" si="1"/>
        <v>3.4079908544257236E-2</v>
      </c>
      <c r="K7" s="20">
        <f>(K8*(G8/100*I8-J7+C8)/C8)</f>
        <v>0.96605153815618094</v>
      </c>
      <c r="L7" s="18"/>
      <c r="M7" s="18"/>
      <c r="N7" s="18"/>
      <c r="O7" s="18"/>
      <c r="P7" s="18"/>
    </row>
    <row r="8" spans="1:16">
      <c r="A8">
        <v>3</v>
      </c>
      <c r="B8" s="5">
        <v>45852</v>
      </c>
      <c r="C8" s="20">
        <v>0.96404622206233692</v>
      </c>
      <c r="D8" s="20">
        <v>0.95729638500968794</v>
      </c>
      <c r="E8" s="20">
        <v>1.8088864371244101E-2</v>
      </c>
      <c r="F8" s="20">
        <v>0.50555555555555554</v>
      </c>
      <c r="G8" s="20">
        <v>1.4609374662469676</v>
      </c>
      <c r="H8" s="20">
        <v>1.005555555555556</v>
      </c>
      <c r="I8" s="20">
        <v>2.9414297196025889</v>
      </c>
      <c r="J8" s="20">
        <f t="shared" si="1"/>
        <v>4.2896039786607928E-2</v>
      </c>
      <c r="K8" s="20">
        <f>K9*(1+E9*F9)</f>
        <v>0.95722194626287549</v>
      </c>
      <c r="L8" s="18"/>
      <c r="M8" s="18">
        <f t="shared" ref="M8" si="2">K8</f>
        <v>0.95722194626287549</v>
      </c>
      <c r="N8" s="18"/>
      <c r="O8" s="18"/>
      <c r="P8" s="18"/>
    </row>
    <row r="9" spans="1:16">
      <c r="A9">
        <v>3.5</v>
      </c>
      <c r="B9" s="5">
        <v>46034</v>
      </c>
      <c r="C9" s="20">
        <v>0.95592389246503651</v>
      </c>
      <c r="D9" s="20">
        <v>0.94796491452005915</v>
      </c>
      <c r="E9" s="20">
        <v>1.9479741902559099E-2</v>
      </c>
      <c r="F9" s="20">
        <v>0.50555555555555554</v>
      </c>
      <c r="G9" s="20">
        <v>0</v>
      </c>
      <c r="H9" s="20"/>
      <c r="I9" s="20"/>
      <c r="J9" s="20">
        <f t="shared" si="1"/>
        <v>5.2310065975705033E-2</v>
      </c>
      <c r="K9" s="20">
        <f>(K10*(G10/100*I10-J9+C10)/C10)</f>
        <v>0.94788706746368701</v>
      </c>
      <c r="L9" s="18"/>
      <c r="M9" s="18"/>
      <c r="N9" s="18"/>
      <c r="O9" s="18"/>
      <c r="P9" s="18"/>
    </row>
    <row r="10" spans="1:16">
      <c r="A10">
        <v>4</v>
      </c>
      <c r="B10" s="5">
        <v>46216</v>
      </c>
      <c r="C10" s="20">
        <v>0.94713494159022615</v>
      </c>
      <c r="D10" s="20">
        <v>0.93807952562658103</v>
      </c>
      <c r="E10" s="20">
        <v>2.0844199194661701E-2</v>
      </c>
      <c r="F10" s="20">
        <v>0.50555555555555554</v>
      </c>
      <c r="G10" s="20">
        <v>1.6038987805836151</v>
      </c>
      <c r="H10" s="20">
        <v>0.99722222222222223</v>
      </c>
      <c r="I10" s="20">
        <v>3.885933730799509</v>
      </c>
      <c r="J10" s="20">
        <f t="shared" si="1"/>
        <v>6.2290879943441235E-2</v>
      </c>
      <c r="K10" s="20">
        <f>K11*(1+E11*F11)</f>
        <v>0.93796763807224026</v>
      </c>
      <c r="L10" s="18"/>
      <c r="M10" s="18">
        <f t="shared" ref="M10" si="3">K10</f>
        <v>0.93796763807224026</v>
      </c>
      <c r="N10" s="18"/>
      <c r="O10" s="18"/>
      <c r="P10" s="18"/>
    </row>
    <row r="11" spans="1:16">
      <c r="A11">
        <v>4.5</v>
      </c>
      <c r="B11" s="5">
        <v>46399</v>
      </c>
      <c r="C11" s="20">
        <v>0.9377546742182391</v>
      </c>
      <c r="D11" s="20">
        <v>0.92766793341618325</v>
      </c>
      <c r="E11" s="20">
        <v>2.2082122249332401E-2</v>
      </c>
      <c r="F11" s="20">
        <v>0.5083333333333333</v>
      </c>
      <c r="G11" s="20">
        <v>0</v>
      </c>
      <c r="H11" s="20"/>
      <c r="I11" s="20"/>
      <c r="J11" s="20">
        <f t="shared" si="1"/>
        <v>7.2817250066059339E-2</v>
      </c>
      <c r="K11" s="20">
        <f>(K12*(G12/100*I12-J11+C12)/C12)</f>
        <v>0.92755575165912596</v>
      </c>
      <c r="L11" s="18"/>
      <c r="M11" s="18"/>
      <c r="N11" s="18"/>
      <c r="O11" s="18"/>
      <c r="P11" s="18"/>
    </row>
    <row r="12" spans="1:16">
      <c r="A12">
        <v>5</v>
      </c>
      <c r="B12" s="5">
        <v>46580</v>
      </c>
      <c r="C12" s="20">
        <v>0.92824283734542401</v>
      </c>
      <c r="D12" s="20">
        <v>0.91712844122432902</v>
      </c>
      <c r="E12" s="20">
        <v>2.2856695926326401E-2</v>
      </c>
      <c r="F12" s="20">
        <v>0.50277777777777777</v>
      </c>
      <c r="G12" s="20">
        <v>1.7348505113569817</v>
      </c>
      <c r="H12" s="20">
        <v>0.99722222222222223</v>
      </c>
      <c r="I12" s="20">
        <v>4.811598115818974</v>
      </c>
      <c r="J12" s="20">
        <f t="shared" si="1"/>
        <v>8.3484467106331728E-2</v>
      </c>
      <c r="K12" s="20">
        <f>K13*(1+E13*F13)</f>
        <v>0.91702772344190264</v>
      </c>
      <c r="L12" s="18"/>
      <c r="M12" s="18">
        <f t="shared" ref="M12" si="4">K12</f>
        <v>0.91702772344190264</v>
      </c>
      <c r="N12" s="18"/>
      <c r="O12" s="18"/>
      <c r="P12" s="18"/>
    </row>
    <row r="13" spans="1:16">
      <c r="A13">
        <v>5.5</v>
      </c>
      <c r="B13" s="5">
        <v>46764</v>
      </c>
      <c r="C13" s="20">
        <v>0.9185963965955859</v>
      </c>
      <c r="D13" s="20">
        <v>0.90637502877283138</v>
      </c>
      <c r="E13" s="20">
        <v>2.3212560544255901E-2</v>
      </c>
      <c r="F13" s="20">
        <v>0.51111111111111107</v>
      </c>
      <c r="G13" s="20">
        <v>0</v>
      </c>
      <c r="H13" s="20"/>
      <c r="I13" s="20"/>
      <c r="J13" s="20">
        <f t="shared" si="1"/>
        <v>9.438287628076146E-2</v>
      </c>
      <c r="K13" s="20">
        <f>(K14*(G14/100*I14-J13+C14)/C14)</f>
        <v>0.90627549191535173</v>
      </c>
      <c r="L13" s="18"/>
      <c r="M13" s="18"/>
      <c r="N13" s="18"/>
      <c r="O13" s="18"/>
      <c r="P13" s="18"/>
    </row>
    <row r="14" spans="1:16">
      <c r="A14">
        <v>6</v>
      </c>
      <c r="B14" s="5">
        <v>46946</v>
      </c>
      <c r="C14" s="20">
        <v>0.90901718303320767</v>
      </c>
      <c r="D14" s="20">
        <v>0.89571111788568369</v>
      </c>
      <c r="E14" s="20">
        <v>2.3549389624901301E-2</v>
      </c>
      <c r="F14" s="20">
        <v>0.50555555555555554</v>
      </c>
      <c r="G14" s="20">
        <v>1.8387961839381297</v>
      </c>
      <c r="H14" s="20">
        <v>1</v>
      </c>
      <c r="I14" s="20">
        <v>5.7206152988521817</v>
      </c>
      <c r="J14" s="20">
        <f t="shared" si="1"/>
        <v>0.10520520285591206</v>
      </c>
      <c r="K14" s="20">
        <f>K15*(1+E15*F15)</f>
        <v>0.89562711098924697</v>
      </c>
      <c r="L14" s="18"/>
      <c r="M14" s="18">
        <f t="shared" ref="M14" si="5">K14</f>
        <v>0.89562711098924697</v>
      </c>
      <c r="N14" s="18"/>
      <c r="O14" s="18"/>
      <c r="P14" s="18"/>
    </row>
    <row r="15" spans="1:16">
      <c r="A15">
        <v>6.5</v>
      </c>
      <c r="B15" s="5">
        <v>47130</v>
      </c>
      <c r="C15" s="20">
        <v>0.89917826917514665</v>
      </c>
      <c r="D15" s="20">
        <v>0.88485868785708344</v>
      </c>
      <c r="E15" s="20">
        <v>2.39959391987998E-2</v>
      </c>
      <c r="F15" s="20">
        <v>0.51111111111111107</v>
      </c>
      <c r="G15" s="20">
        <v>0</v>
      </c>
      <c r="H15" s="20"/>
      <c r="I15" s="20"/>
      <c r="J15" s="20">
        <f t="shared" si="1"/>
        <v>0.11623325669476103</v>
      </c>
      <c r="K15" s="20">
        <f>(K16*(G16/100*I16-J15+C16)/C16)</f>
        <v>0.88477569878765283</v>
      </c>
      <c r="L15" s="18"/>
      <c r="M15" s="18"/>
      <c r="N15" s="18"/>
      <c r="O15" s="18"/>
      <c r="P15" s="18"/>
    </row>
    <row r="16" spans="1:16">
      <c r="A16">
        <v>7</v>
      </c>
      <c r="B16" s="5">
        <v>47311</v>
      </c>
      <c r="C16" s="20">
        <v>0.8893123052047649</v>
      </c>
      <c r="D16" s="20">
        <v>0.8740370041426615</v>
      </c>
      <c r="E16" s="20">
        <v>2.4625720319847801E-2</v>
      </c>
      <c r="F16" s="20">
        <v>0.50277777777777777</v>
      </c>
      <c r="G16" s="20">
        <v>1.9247363641031188</v>
      </c>
      <c r="H16" s="20">
        <v>1</v>
      </c>
      <c r="I16" s="20">
        <v>6.6099276040569466</v>
      </c>
      <c r="J16" s="20">
        <f t="shared" si="1"/>
        <v>0.12724406795864956</v>
      </c>
      <c r="K16" s="20">
        <f>K17*(1+E17*F17)</f>
        <v>0.87397482108469582</v>
      </c>
      <c r="L16" s="18"/>
      <c r="M16" s="18">
        <f t="shared" ref="M16" si="6">K16</f>
        <v>0.87397482108469582</v>
      </c>
      <c r="N16" s="18"/>
      <c r="O16" s="18"/>
      <c r="P16" s="18"/>
    </row>
    <row r="17" spans="1:16">
      <c r="A17">
        <v>7.5</v>
      </c>
      <c r="B17" s="5">
        <v>47497</v>
      </c>
      <c r="C17" s="20">
        <v>0.87897161571716564</v>
      </c>
      <c r="D17" s="20">
        <v>0.86271292715050496</v>
      </c>
      <c r="E17" s="20">
        <v>2.5405401590895899E-2</v>
      </c>
      <c r="F17" s="20">
        <v>0.51666666666666672</v>
      </c>
      <c r="G17" s="20">
        <v>0</v>
      </c>
      <c r="H17" s="20"/>
      <c r="I17" s="20"/>
      <c r="J17" s="20">
        <f t="shared" si="1"/>
        <v>0.13878155851553439</v>
      </c>
      <c r="K17" s="20">
        <f>(K18*(G18/100*I18-J17+C18)/C18)</f>
        <v>0.86265154974004921</v>
      </c>
      <c r="L17" s="18"/>
      <c r="M17" s="18"/>
      <c r="N17" s="18"/>
      <c r="O17" s="18"/>
      <c r="P17" s="18"/>
    </row>
    <row r="18" spans="1:16">
      <c r="A18">
        <v>8</v>
      </c>
      <c r="B18" s="5">
        <v>47676</v>
      </c>
      <c r="C18" s="20">
        <v>0.86884980767765363</v>
      </c>
      <c r="D18" s="20">
        <v>0.85168947472002765</v>
      </c>
      <c r="E18" s="20">
        <v>2.6037552195365E-2</v>
      </c>
      <c r="F18" s="20">
        <v>0.49722222222222218</v>
      </c>
      <c r="G18" s="20">
        <v>2.0056686338071099</v>
      </c>
      <c r="H18" s="20">
        <v>1</v>
      </c>
      <c r="I18" s="20">
        <v>7.4787774117346002</v>
      </c>
      <c r="J18" s="20">
        <f t="shared" si="1"/>
        <v>0.15003007872915611</v>
      </c>
      <c r="K18" s="20">
        <f>K19*(1+E19*F19)</f>
        <v>0.85165561399287493</v>
      </c>
      <c r="L18" s="18"/>
      <c r="M18" s="18">
        <f t="shared" ref="M18" si="7">K18</f>
        <v>0.85165561399287493</v>
      </c>
      <c r="N18" s="18"/>
      <c r="O18" s="18"/>
      <c r="P18" s="18"/>
    </row>
    <row r="19" spans="1:16">
      <c r="A19">
        <v>8.5</v>
      </c>
      <c r="B19" s="5">
        <v>47861</v>
      </c>
      <c r="C19" s="20">
        <v>0.85822803261302394</v>
      </c>
      <c r="D19" s="20">
        <v>0.84022535250532049</v>
      </c>
      <c r="E19" s="20">
        <v>2.6550689146691599E-2</v>
      </c>
      <c r="F19" s="20">
        <v>0.51388888888888884</v>
      </c>
      <c r="G19" s="20">
        <v>0</v>
      </c>
      <c r="H19" s="20"/>
      <c r="I19" s="20"/>
      <c r="J19" s="20">
        <f t="shared" si="1"/>
        <v>0.16173983138613873</v>
      </c>
      <c r="K19" s="20">
        <f>(K20*(G20/100*I20-J19+C20)/C20)</f>
        <v>0.84019194755873794</v>
      </c>
      <c r="L19" s="18"/>
      <c r="M19" s="18"/>
      <c r="N19" s="18"/>
      <c r="O19" s="18"/>
      <c r="P19" s="18"/>
    </row>
    <row r="20" spans="1:16">
      <c r="A20">
        <v>9</v>
      </c>
      <c r="B20" s="5">
        <v>48043</v>
      </c>
      <c r="C20" s="20">
        <v>0.84757139217307043</v>
      </c>
      <c r="D20" s="20">
        <v>0.82878111312407454</v>
      </c>
      <c r="E20" s="20">
        <v>2.73135531920118E-2</v>
      </c>
      <c r="F20" s="20">
        <v>0.50555555555555554</v>
      </c>
      <c r="G20" s="20">
        <v>2.0825923900702592</v>
      </c>
      <c r="H20" s="20">
        <v>1.005555555555556</v>
      </c>
      <c r="I20" s="20">
        <v>8.3310575338641879</v>
      </c>
      <c r="J20" s="20">
        <f t="shared" si="1"/>
        <v>0.1734435366843462</v>
      </c>
      <c r="K20" s="20">
        <f>K21*(1+E21*F21)</f>
        <v>0.82869180940331033</v>
      </c>
      <c r="L20" s="18"/>
      <c r="M20" s="18">
        <f t="shared" ref="M20" si="8">K20</f>
        <v>0.82869180940331033</v>
      </c>
      <c r="N20" s="18"/>
      <c r="O20" s="18"/>
      <c r="P20" s="18"/>
    </row>
    <row r="21" spans="1:16">
      <c r="A21">
        <v>9.5</v>
      </c>
      <c r="B21" s="5">
        <v>48225</v>
      </c>
      <c r="C21" s="20">
        <v>0.83669069416023167</v>
      </c>
      <c r="D21" s="20">
        <v>0.81711882271219038</v>
      </c>
      <c r="E21" s="20">
        <v>2.8236771671545199E-2</v>
      </c>
      <c r="F21" s="20">
        <v>0.50555555555555554</v>
      </c>
      <c r="G21" s="20">
        <v>0</v>
      </c>
      <c r="H21" s="20"/>
      <c r="I21" s="20"/>
      <c r="J21" s="20">
        <f t="shared" si="1"/>
        <v>0.18538751119687136</v>
      </c>
      <c r="K21" s="20">
        <f>(K22*(G22/100*I22-J21+C22)/C22)</f>
        <v>0.81702851751148653</v>
      </c>
      <c r="L21" s="18"/>
      <c r="M21" s="18"/>
      <c r="N21" s="18"/>
      <c r="O21" s="18"/>
      <c r="P21" s="18"/>
    </row>
    <row r="22" spans="1:16">
      <c r="A22">
        <v>10</v>
      </c>
      <c r="B22" s="5">
        <v>48407</v>
      </c>
      <c r="C22" s="20">
        <v>0.8257303052243582</v>
      </c>
      <c r="D22" s="20">
        <v>0.80547248666946025</v>
      </c>
      <c r="E22" s="20">
        <v>2.8600242760871801E-2</v>
      </c>
      <c r="F22" s="20">
        <v>0.50555555555555554</v>
      </c>
      <c r="G22" s="20">
        <v>2.1555078480154832</v>
      </c>
      <c r="H22" s="20">
        <v>0.99444444444444446</v>
      </c>
      <c r="I22" s="20">
        <v>9.152200448503967</v>
      </c>
      <c r="J22" s="20">
        <f t="shared" si="1"/>
        <v>0.19732675527344198</v>
      </c>
      <c r="K22" s="20">
        <f>K23*(1+E23*F23)</f>
        <v>0.80543188696142676</v>
      </c>
      <c r="L22" s="18"/>
      <c r="M22" s="18">
        <f t="shared" ref="M22" si="9">K22</f>
        <v>0.80543188696142676</v>
      </c>
      <c r="N22" s="18"/>
      <c r="O22" s="18"/>
      <c r="P22" s="18"/>
    </row>
    <row r="23" spans="1:16">
      <c r="A23">
        <v>10.5</v>
      </c>
      <c r="B23" s="5">
        <v>48591</v>
      </c>
      <c r="C23" s="20">
        <v>0.8146912703004634</v>
      </c>
      <c r="D23" s="20">
        <v>0.79392771566848708</v>
      </c>
      <c r="E23" s="20">
        <v>2.8450443271989499E-2</v>
      </c>
      <c r="F23" s="20">
        <v>0.51111111111111107</v>
      </c>
      <c r="G23" s="20">
        <v>0</v>
      </c>
      <c r="H23" s="20"/>
      <c r="I23" s="20"/>
      <c r="J23" s="20">
        <f t="shared" si="1"/>
        <v>0.20917345613359695</v>
      </c>
      <c r="K23" s="20">
        <f>(K24*(G24/100*I24-J23+C24)/C24)</f>
        <v>0.79388769787273461</v>
      </c>
      <c r="L23" s="18"/>
      <c r="M23" s="18"/>
      <c r="N23" s="18"/>
      <c r="O23" s="18"/>
      <c r="P23" s="18"/>
    </row>
    <row r="24" spans="1:16">
      <c r="A24">
        <v>11</v>
      </c>
      <c r="B24" s="5">
        <v>48772</v>
      </c>
      <c r="C24" s="20">
        <v>0.8037668893231964</v>
      </c>
      <c r="D24" s="20">
        <v>0.78267545028228147</v>
      </c>
      <c r="E24" s="20">
        <v>2.8594478516200401E-2</v>
      </c>
      <c r="F24" s="20">
        <v>0.50277777777777777</v>
      </c>
      <c r="G24" s="20">
        <v>2.2164183846979491</v>
      </c>
      <c r="H24" s="20">
        <v>1</v>
      </c>
      <c r="I24" s="20">
        <v>9.9559673378271629</v>
      </c>
      <c r="J24" s="20">
        <f t="shared" si="1"/>
        <v>0.22072894614423624</v>
      </c>
      <c r="K24" s="20">
        <f>K25*(1+E25*F25)</f>
        <v>0.78269653211977064</v>
      </c>
      <c r="L24" s="18"/>
      <c r="M24" s="18">
        <f t="shared" ref="M24" si="10">K24</f>
        <v>0.78269653211977064</v>
      </c>
      <c r="N24" s="18"/>
      <c r="O24" s="18"/>
      <c r="P24" s="18"/>
    </row>
    <row r="25" spans="1:16">
      <c r="A25">
        <v>11.5</v>
      </c>
      <c r="B25" s="5">
        <v>48956</v>
      </c>
      <c r="C25" s="20">
        <v>0.79251290448087985</v>
      </c>
      <c r="D25" s="20">
        <v>0.77121663179798594</v>
      </c>
      <c r="E25" s="20">
        <v>2.90702074422408E-2</v>
      </c>
      <c r="F25" s="20">
        <v>0.51111111111111107</v>
      </c>
      <c r="G25" s="20">
        <v>0</v>
      </c>
      <c r="H25" s="20"/>
      <c r="I25" s="20"/>
      <c r="J25" s="20">
        <f t="shared" si="1"/>
        <v>0.23250418690601346</v>
      </c>
      <c r="K25" s="20">
        <f>(K26*(G26/100*I26-J25+C26)/C26)</f>
        <v>0.77123740498525617</v>
      </c>
      <c r="L25" s="18"/>
      <c r="M25" s="18"/>
      <c r="N25" s="18"/>
      <c r="O25" s="18"/>
      <c r="P25" s="18"/>
    </row>
    <row r="26" spans="1:16">
      <c r="A26">
        <v>12</v>
      </c>
      <c r="B26" s="5">
        <v>49137</v>
      </c>
      <c r="C26" s="20">
        <v>0.78150798192835358</v>
      </c>
      <c r="D26" s="20">
        <v>0.76007457235941267</v>
      </c>
      <c r="E26" s="20">
        <v>2.9156352552981098E-2</v>
      </c>
      <c r="F26" s="20">
        <v>0.50277777777777777</v>
      </c>
      <c r="G26" s="20">
        <v>2.2713226435422289</v>
      </c>
      <c r="H26" s="20">
        <v>1</v>
      </c>
      <c r="I26" s="20">
        <v>10.73747531975552</v>
      </c>
      <c r="J26" s="20">
        <f t="shared" si="1"/>
        <v>0.24396044225650515</v>
      </c>
      <c r="K26" s="20">
        <f>K27*(1+E27*F27)</f>
        <v>0.76016956455375562</v>
      </c>
      <c r="L26" s="18"/>
      <c r="M26" s="18">
        <f t="shared" ref="M26" si="11">K26</f>
        <v>0.76016956455375562</v>
      </c>
      <c r="N26" s="18"/>
      <c r="O26" s="18"/>
      <c r="P26" s="18"/>
    </row>
    <row r="27" spans="1:16">
      <c r="A27">
        <v>12.5</v>
      </c>
      <c r="B27" s="5">
        <v>49321</v>
      </c>
      <c r="C27" s="20">
        <v>0.77061478256932514</v>
      </c>
      <c r="D27" s="20">
        <v>0.74906175653772222</v>
      </c>
      <c r="E27" s="20">
        <v>2.8765069603566101E-2</v>
      </c>
      <c r="F27" s="20">
        <v>0.51111111111111107</v>
      </c>
      <c r="G27" s="20">
        <v>0</v>
      </c>
      <c r="H27" s="20"/>
      <c r="I27" s="20"/>
      <c r="J27" s="20">
        <f t="shared" si="1"/>
        <v>0.25529013382844523</v>
      </c>
      <c r="K27" s="20">
        <f>(K28*(G28/100*I28-J27+C28)/C28)</f>
        <v>0.74915537237824559</v>
      </c>
      <c r="L27" s="18"/>
      <c r="M27" s="18"/>
      <c r="N27" s="18"/>
      <c r="O27" s="18"/>
      <c r="P27" s="18"/>
    </row>
    <row r="28" spans="1:16">
      <c r="A28">
        <v>13</v>
      </c>
      <c r="B28" s="5">
        <v>49502</v>
      </c>
      <c r="C28" s="20">
        <v>0.76021383187024028</v>
      </c>
      <c r="D28" s="20">
        <v>0.73859675986976769</v>
      </c>
      <c r="E28" s="20">
        <v>2.81809495309472E-2</v>
      </c>
      <c r="F28" s="20">
        <v>0.50277777777777777</v>
      </c>
      <c r="G28" s="20">
        <v>2.3132261705174342</v>
      </c>
      <c r="H28" s="20">
        <v>1</v>
      </c>
      <c r="I28" s="20">
        <v>11.49768915162576</v>
      </c>
      <c r="J28" s="20">
        <f t="shared" si="1"/>
        <v>0.26606141749730089</v>
      </c>
      <c r="K28" s="20">
        <f>K29*(1+E29*F29)</f>
        <v>0.73877900994914347</v>
      </c>
      <c r="L28" s="18"/>
      <c r="M28" s="18">
        <f t="shared" ref="M28" si="12">K28</f>
        <v>0.73877900994914347</v>
      </c>
      <c r="N28" s="18"/>
      <c r="O28" s="18"/>
      <c r="P28" s="18"/>
    </row>
    <row r="29" spans="1:16">
      <c r="A29">
        <v>13.5</v>
      </c>
      <c r="B29" s="5">
        <v>49688</v>
      </c>
      <c r="C29" s="20">
        <v>0.7498602714689413</v>
      </c>
      <c r="D29" s="20">
        <v>0.72826345785213376</v>
      </c>
      <c r="E29" s="20">
        <v>2.7462505736529301E-2</v>
      </c>
      <c r="F29" s="20">
        <v>0.51666666666666672</v>
      </c>
      <c r="G29" s="20">
        <v>0</v>
      </c>
      <c r="H29" s="20"/>
      <c r="I29" s="20"/>
      <c r="J29" s="20">
        <f t="shared" si="1"/>
        <v>0.27670115586748667</v>
      </c>
      <c r="K29" s="20">
        <f>(K30*(G30/100*I30-J29+C30)/C30)</f>
        <v>0.72844315817064509</v>
      </c>
      <c r="L29" s="18"/>
      <c r="M29" s="18"/>
      <c r="N29" s="18"/>
      <c r="O29" s="18"/>
      <c r="P29" s="18"/>
    </row>
    <row r="30" spans="1:16">
      <c r="A30">
        <v>14</v>
      </c>
      <c r="B30" s="5">
        <v>49870</v>
      </c>
      <c r="C30" s="20">
        <v>0.74018567472833596</v>
      </c>
      <c r="D30" s="20">
        <v>0.71863740591193315</v>
      </c>
      <c r="E30" s="20">
        <v>2.6495339851027901E-2</v>
      </c>
      <c r="F30" s="20">
        <v>0.50555555555555554</v>
      </c>
      <c r="G30" s="20">
        <v>2.3411326253242071</v>
      </c>
      <c r="H30" s="20">
        <v>1.005555555555556</v>
      </c>
      <c r="I30" s="20">
        <v>12.241986968991471</v>
      </c>
      <c r="J30" s="20">
        <f t="shared" si="1"/>
        <v>0.28661584398657475</v>
      </c>
      <c r="K30" s="20">
        <f>K31*(1+E31*F31)</f>
        <v>0.7188288115010002</v>
      </c>
      <c r="L30" s="18"/>
      <c r="M30" s="18">
        <f t="shared" ref="M30" si="13">K30</f>
        <v>0.7188288115010002</v>
      </c>
      <c r="N30" s="18"/>
      <c r="O30" s="18"/>
      <c r="P30" s="18"/>
    </row>
    <row r="31" spans="1:16">
      <c r="A31">
        <v>14.5</v>
      </c>
      <c r="B31" s="5">
        <v>50052</v>
      </c>
      <c r="C31" s="20">
        <v>0.73104788279616695</v>
      </c>
      <c r="D31" s="20">
        <v>0.7095309602972194</v>
      </c>
      <c r="E31" s="20">
        <v>2.5383289016291E-2</v>
      </c>
      <c r="F31" s="20">
        <v>0.50555555555555554</v>
      </c>
      <c r="G31" s="20">
        <v>0</v>
      </c>
      <c r="H31" s="20"/>
      <c r="I31" s="20"/>
      <c r="J31" s="20">
        <f t="shared" si="1"/>
        <v>0.29599713494286589</v>
      </c>
      <c r="K31" s="20">
        <f>(K32*(G32/100*I32-J31+C32)/C32)</f>
        <v>0.709721198690068</v>
      </c>
      <c r="L31" s="18"/>
      <c r="M31" s="18"/>
      <c r="N31" s="18"/>
      <c r="O31" s="18"/>
      <c r="P31" s="18"/>
    </row>
    <row r="32" spans="1:16">
      <c r="A32">
        <v>15</v>
      </c>
      <c r="B32" s="5">
        <v>50234</v>
      </c>
      <c r="C32" s="20">
        <v>0.72227737271592507</v>
      </c>
      <c r="D32" s="20">
        <v>0.700838160456415</v>
      </c>
      <c r="E32" s="20">
        <v>2.4534264978464001E-2</v>
      </c>
      <c r="F32" s="20">
        <v>0.50555555555555554</v>
      </c>
      <c r="G32" s="20">
        <v>2.3520489679872005</v>
      </c>
      <c r="H32" s="20">
        <v>0.99722222222222223</v>
      </c>
      <c r="I32" s="20">
        <v>12.962258015672081</v>
      </c>
      <c r="J32" s="20">
        <f t="shared" si="1"/>
        <v>0.30495585463711411</v>
      </c>
      <c r="K32" s="20">
        <f>K33*(1+E33*F33)</f>
        <v>0.70110008535309731</v>
      </c>
      <c r="L32" s="18"/>
      <c r="M32" s="18">
        <f t="shared" ref="M32" si="14">K32</f>
        <v>0.70110008535309731</v>
      </c>
      <c r="N32" s="18"/>
      <c r="O32" s="18"/>
      <c r="P32" s="18"/>
    </row>
    <row r="33" spans="1:16">
      <c r="A33">
        <v>15.5</v>
      </c>
      <c r="B33" s="5">
        <v>50417</v>
      </c>
      <c r="C33" s="20">
        <v>0.71366212197997081</v>
      </c>
      <c r="D33" s="20">
        <v>0.69241736243795082</v>
      </c>
      <c r="E33" s="20">
        <v>2.3922987110430501E-2</v>
      </c>
      <c r="F33" s="20">
        <v>0.5083333333333333</v>
      </c>
      <c r="G33" s="20">
        <v>0</v>
      </c>
      <c r="H33" s="20"/>
      <c r="I33" s="20"/>
      <c r="J33" s="20">
        <f t="shared" si="1"/>
        <v>0.31363459392432319</v>
      </c>
      <c r="K33" s="20">
        <f>(K34*(G34/100*I34-J33+C34)/C34)</f>
        <v>0.69267654851434579</v>
      </c>
      <c r="L33" s="18"/>
      <c r="M33" s="18"/>
      <c r="N33" s="18"/>
      <c r="O33" s="18"/>
      <c r="P33" s="18"/>
    </row>
    <row r="34" spans="1:16">
      <c r="A34">
        <v>16</v>
      </c>
      <c r="B34" s="5">
        <v>50598</v>
      </c>
      <c r="C34" s="20">
        <v>0.70541109112485312</v>
      </c>
      <c r="D34" s="20">
        <v>0.68446812486706743</v>
      </c>
      <c r="E34" s="20">
        <v>2.3099159315272899E-2</v>
      </c>
      <c r="F34" s="20">
        <v>0.50277777777777777</v>
      </c>
      <c r="G34" s="20">
        <v>2.3539707646387344</v>
      </c>
      <c r="H34" s="20">
        <v>0.99722222222222223</v>
      </c>
      <c r="I34" s="20">
        <v>13.6657096315438</v>
      </c>
      <c r="J34" s="20">
        <f t="shared" si="1"/>
        <v>0.32182705774369619</v>
      </c>
      <c r="K34" s="20">
        <f>K35*(1+E35*F35)</f>
        <v>0.68485893428634237</v>
      </c>
      <c r="L34" s="18"/>
      <c r="M34" s="18">
        <f t="shared" ref="M34" si="15">K34</f>
        <v>0.68485893428634237</v>
      </c>
      <c r="N34" s="18"/>
      <c r="O34" s="18"/>
      <c r="P34" s="18"/>
    </row>
    <row r="35" spans="1:16">
      <c r="A35">
        <v>16.5</v>
      </c>
      <c r="B35" s="5">
        <v>50782</v>
      </c>
      <c r="C35" s="20">
        <v>0.69740868440821069</v>
      </c>
      <c r="D35" s="20">
        <v>0.67685350673892697</v>
      </c>
      <c r="E35" s="20">
        <v>2.2010916327615201E-2</v>
      </c>
      <c r="F35" s="20">
        <v>0.51111111111111107</v>
      </c>
      <c r="G35" s="20">
        <v>0</v>
      </c>
      <c r="H35" s="20"/>
      <c r="I35" s="20"/>
      <c r="J35" s="20">
        <f t="shared" si="1"/>
        <v>0.32967292211190086</v>
      </c>
      <c r="K35" s="20">
        <f>(K36*(G36/100*I36-J35+C36)/C36)</f>
        <v>0.67723996845466317</v>
      </c>
      <c r="L35" s="18"/>
      <c r="M35" s="18"/>
      <c r="N35" s="18"/>
      <c r="O35" s="18"/>
      <c r="P35" s="18"/>
    </row>
    <row r="36" spans="1:16">
      <c r="A36">
        <v>17</v>
      </c>
      <c r="B36" s="5">
        <v>50963</v>
      </c>
      <c r="C36" s="20">
        <v>0.68996315335641056</v>
      </c>
      <c r="D36" s="20">
        <v>0.66981104102760358</v>
      </c>
      <c r="E36" s="20">
        <v>2.0912038267508801E-2</v>
      </c>
      <c r="F36" s="20">
        <v>0.50277777777777777</v>
      </c>
      <c r="G36" s="20">
        <v>2.3459008890308781</v>
      </c>
      <c r="H36" s="20">
        <v>1</v>
      </c>
      <c r="I36" s="20">
        <v>14.355672784900211</v>
      </c>
      <c r="J36" s="20">
        <f t="shared" ref="J36:J67" si="16">J35+(E36*F36*C36)</f>
        <v>0.33692726931127592</v>
      </c>
      <c r="K36" s="20">
        <f>K37*(1+E37*F37)</f>
        <v>0.67034482838454368</v>
      </c>
      <c r="L36" s="18"/>
      <c r="M36" s="18">
        <f t="shared" ref="M36" si="17">K36</f>
        <v>0.67034482838454368</v>
      </c>
      <c r="N36" s="18"/>
      <c r="O36" s="18"/>
      <c r="P36" s="18"/>
    </row>
    <row r="37" spans="1:16">
      <c r="A37">
        <v>17.5</v>
      </c>
      <c r="B37" s="5">
        <v>51147</v>
      </c>
      <c r="C37" s="20">
        <v>0.68282994441576605</v>
      </c>
      <c r="D37" s="20">
        <v>0.66306691465186141</v>
      </c>
      <c r="E37" s="20">
        <v>1.9899997381878601E-2</v>
      </c>
      <c r="F37" s="20">
        <v>0.51111111111111107</v>
      </c>
      <c r="G37" s="20">
        <v>0</v>
      </c>
      <c r="H37" s="20"/>
      <c r="I37" s="20"/>
      <c r="J37" s="20">
        <f t="shared" si="16"/>
        <v>0.34387240763219296</v>
      </c>
      <c r="K37" s="20">
        <f>(K38*(G38/100*I38-J37+C38)/C38)</f>
        <v>0.66359532746408301</v>
      </c>
      <c r="L37" s="18"/>
      <c r="M37" s="18"/>
      <c r="N37" s="18"/>
      <c r="O37" s="18"/>
      <c r="P37" s="18"/>
    </row>
    <row r="38" spans="1:16">
      <c r="A38">
        <v>18</v>
      </c>
      <c r="B38" s="5">
        <v>51329</v>
      </c>
      <c r="C38" s="20">
        <v>0.67609185802575111</v>
      </c>
      <c r="D38" s="20">
        <v>0.65673579124496839</v>
      </c>
      <c r="E38" s="20">
        <v>1.90687052713602E-2</v>
      </c>
      <c r="F38" s="20">
        <v>0.50555555555555554</v>
      </c>
      <c r="G38" s="20">
        <v>2.329840462853781</v>
      </c>
      <c r="H38" s="20">
        <v>1</v>
      </c>
      <c r="I38" s="20">
        <v>15.031764642925969</v>
      </c>
      <c r="J38" s="20">
        <f t="shared" si="16"/>
        <v>0.35039012913392853</v>
      </c>
      <c r="K38" s="20">
        <f>K39*(1+E39*F39)</f>
        <v>0.65742673384840389</v>
      </c>
      <c r="L38" s="18"/>
      <c r="M38" s="18">
        <f t="shared" ref="M38" si="18">K38</f>
        <v>0.65742673384840389</v>
      </c>
      <c r="N38" s="18"/>
      <c r="O38" s="18"/>
      <c r="P38" s="18"/>
    </row>
    <row r="39" spans="1:16">
      <c r="A39">
        <v>18.5</v>
      </c>
      <c r="B39" s="5">
        <v>51515</v>
      </c>
      <c r="C39" s="20">
        <v>0.66942332733091914</v>
      </c>
      <c r="D39" s="20">
        <v>0.65055591075883357</v>
      </c>
      <c r="E39" s="20">
        <v>1.8385904743329899E-2</v>
      </c>
      <c r="F39" s="20">
        <v>0.51666666666666672</v>
      </c>
      <c r="G39" s="20">
        <v>0</v>
      </c>
      <c r="H39" s="20"/>
      <c r="I39" s="20"/>
      <c r="J39" s="20">
        <f t="shared" si="16"/>
        <v>0.35674923845738432</v>
      </c>
      <c r="K39" s="20">
        <f>(K40*(G40/100*I40-J39+C40)/C40)</f>
        <v>0.65124035159585258</v>
      </c>
      <c r="L39" s="18"/>
      <c r="M39" s="18"/>
      <c r="N39" s="18"/>
      <c r="O39" s="18"/>
      <c r="P39" s="18"/>
    </row>
    <row r="40" spans="1:16">
      <c r="A40">
        <v>19</v>
      </c>
      <c r="B40" s="5">
        <v>51694</v>
      </c>
      <c r="C40" s="20">
        <v>0.66324213984716596</v>
      </c>
      <c r="D40" s="20">
        <v>0.6449111569909729</v>
      </c>
      <c r="E40" s="20">
        <v>1.75973078822565E-2</v>
      </c>
      <c r="F40" s="20">
        <v>0.49722222222222218</v>
      </c>
      <c r="G40" s="20">
        <v>2.3087869084192607</v>
      </c>
      <c r="H40" s="20">
        <v>1</v>
      </c>
      <c r="I40" s="20">
        <v>15.695006782773129</v>
      </c>
      <c r="J40" s="20">
        <f t="shared" si="16"/>
        <v>0.36255245631358574</v>
      </c>
      <c r="K40" s="20">
        <f>K41*(1+E41*F41)</f>
        <v>0.64577322045589336</v>
      </c>
      <c r="L40" s="18"/>
      <c r="M40" s="18">
        <f t="shared" ref="M40" si="19">K40</f>
        <v>0.64577322045589336</v>
      </c>
      <c r="N40" s="18"/>
      <c r="O40" s="18"/>
      <c r="P40" s="18"/>
    </row>
    <row r="41" spans="1:16">
      <c r="A41">
        <v>19.5</v>
      </c>
      <c r="B41" s="5">
        <v>51879</v>
      </c>
      <c r="C41" s="20">
        <v>0.65713526584249904</v>
      </c>
      <c r="D41" s="20">
        <v>0.63940852927721736</v>
      </c>
      <c r="E41" s="20">
        <v>1.6746439250249601E-2</v>
      </c>
      <c r="F41" s="20">
        <v>0.51388888888888884</v>
      </c>
      <c r="G41" s="20">
        <v>0</v>
      </c>
      <c r="H41" s="20"/>
      <c r="I41" s="20"/>
      <c r="J41" s="20">
        <f t="shared" si="16"/>
        <v>0.36820763693746406</v>
      </c>
      <c r="K41" s="20">
        <f>(K42*(G42/100*I42-J41+C42)/C42)</f>
        <v>0.64026323728819401</v>
      </c>
      <c r="L41" s="18"/>
      <c r="M41" s="18"/>
      <c r="N41" s="18"/>
      <c r="O41" s="18"/>
      <c r="P41" s="18"/>
    </row>
    <row r="42" spans="1:16">
      <c r="A42">
        <v>20</v>
      </c>
      <c r="B42" s="5">
        <v>52061</v>
      </c>
      <c r="C42" s="20">
        <v>0.65135462223894658</v>
      </c>
      <c r="D42" s="20">
        <v>0.63424325968494244</v>
      </c>
      <c r="E42" s="20">
        <v>1.6108987553141298E-2</v>
      </c>
      <c r="F42" s="20">
        <v>0.50555555555555554</v>
      </c>
      <c r="G42" s="20">
        <v>2.2837403178042432</v>
      </c>
      <c r="H42" s="20">
        <v>1.005555555555556</v>
      </c>
      <c r="I42" s="20">
        <v>16.34998004180229</v>
      </c>
      <c r="J42" s="20">
        <f t="shared" si="16"/>
        <v>0.37351226126364112</v>
      </c>
      <c r="K42" s="21">
        <f t="shared" ref="K42:K60" si="20">K43*(1+E43*F43)</f>
        <v>0.63520827988569217</v>
      </c>
      <c r="L42" s="19">
        <v>0.63520827988569195</v>
      </c>
      <c r="M42" s="18">
        <f>K42</f>
        <v>0.63520827988569217</v>
      </c>
      <c r="N42" s="18"/>
      <c r="O42" s="18"/>
      <c r="P42" s="18"/>
    </row>
    <row r="43" spans="1:16">
      <c r="A43">
        <v>20.5</v>
      </c>
      <c r="B43" s="5">
        <v>52243</v>
      </c>
      <c r="C43" s="20">
        <v>0.64573914209288952</v>
      </c>
      <c r="D43" s="20">
        <v>0.62923895877524105</v>
      </c>
      <c r="E43" s="20">
        <v>1.57299670783482E-2</v>
      </c>
      <c r="F43" s="20">
        <v>0.50555555555555554</v>
      </c>
      <c r="G43" s="20">
        <v>0</v>
      </c>
      <c r="H43" s="20"/>
      <c r="I43" s="20"/>
      <c r="J43" s="20">
        <f t="shared" si="16"/>
        <v>0.37864741929483725</v>
      </c>
      <c r="K43" s="20">
        <f t="shared" si="20"/>
        <v>0.63019672097283386</v>
      </c>
      <c r="L43" s="18"/>
      <c r="M43" s="18"/>
      <c r="N43" s="18"/>
      <c r="O43" s="18"/>
      <c r="P43" s="18"/>
    </row>
    <row r="44" spans="1:16">
      <c r="A44">
        <v>21</v>
      </c>
      <c r="B44" s="5">
        <v>52425</v>
      </c>
      <c r="C44" s="20">
        <v>0.6402741031535254</v>
      </c>
      <c r="D44" s="20">
        <v>0.62437792638072032</v>
      </c>
      <c r="E44" s="20">
        <v>1.53996938488435E-2</v>
      </c>
      <c r="F44" s="20">
        <v>0.50555555555555554</v>
      </c>
      <c r="G44" s="20">
        <v>0</v>
      </c>
      <c r="H44" s="20"/>
      <c r="I44" s="20"/>
      <c r="J44" s="20">
        <f t="shared" si="16"/>
        <v>0.38363220979639029</v>
      </c>
      <c r="K44" s="20">
        <f t="shared" si="20"/>
        <v>0.62532828961961251</v>
      </c>
      <c r="L44" s="18"/>
      <c r="M44" s="18"/>
      <c r="N44" s="18"/>
      <c r="O44" s="18"/>
      <c r="P44" s="18"/>
    </row>
    <row r="45" spans="1:16">
      <c r="A45">
        <v>21.5</v>
      </c>
      <c r="B45" s="5">
        <v>52608</v>
      </c>
      <c r="C45" s="20">
        <v>0.634927113266328</v>
      </c>
      <c r="D45" s="20">
        <v>0.61963339874338974</v>
      </c>
      <c r="E45" s="20">
        <v>1.5062316009954399E-2</v>
      </c>
      <c r="F45" s="20">
        <v>0.5083333333333333</v>
      </c>
      <c r="G45" s="20">
        <v>0</v>
      </c>
      <c r="H45" s="20"/>
      <c r="I45" s="20"/>
      <c r="J45" s="20">
        <f t="shared" si="16"/>
        <v>0.38849364181490392</v>
      </c>
      <c r="K45" s="20">
        <f t="shared" si="20"/>
        <v>0.62057673382568102</v>
      </c>
      <c r="L45" s="18"/>
      <c r="M45" s="18"/>
      <c r="N45" s="18"/>
      <c r="O45" s="18"/>
      <c r="P45" s="18"/>
    </row>
    <row r="46" spans="1:16">
      <c r="A46">
        <v>22</v>
      </c>
      <c r="B46" s="5">
        <v>52790</v>
      </c>
      <c r="C46" s="20">
        <v>0.62975313698155089</v>
      </c>
      <c r="D46" s="20">
        <v>0.61505604443203954</v>
      </c>
      <c r="E46" s="20">
        <v>1.47207844081999E-2</v>
      </c>
      <c r="F46" s="20">
        <v>0.50555555555555554</v>
      </c>
      <c r="G46" s="20">
        <v>0</v>
      </c>
      <c r="H46" s="20"/>
      <c r="I46" s="20"/>
      <c r="J46" s="20">
        <f t="shared" si="16"/>
        <v>0.39318037445129428</v>
      </c>
      <c r="K46" s="20">
        <f t="shared" si="20"/>
        <v>0.61599241091174306</v>
      </c>
      <c r="L46" s="18"/>
      <c r="M46" s="18"/>
      <c r="N46" s="18"/>
      <c r="O46" s="18"/>
      <c r="P46" s="18"/>
    </row>
    <row r="47" spans="1:16">
      <c r="A47">
        <v>22.5</v>
      </c>
      <c r="B47" s="5">
        <v>52974</v>
      </c>
      <c r="C47" s="20">
        <v>0.6246646569460953</v>
      </c>
      <c r="D47" s="20">
        <v>0.61057042362918235</v>
      </c>
      <c r="E47" s="20">
        <v>1.4373795838521899E-2</v>
      </c>
      <c r="F47" s="20">
        <v>0.51111111111111107</v>
      </c>
      <c r="G47" s="20">
        <v>0</v>
      </c>
      <c r="H47" s="20"/>
      <c r="I47" s="20"/>
      <c r="J47" s="20">
        <f t="shared" si="16"/>
        <v>0.39776954004394138</v>
      </c>
      <c r="K47" s="20">
        <f t="shared" si="20"/>
        <v>0.61149996116216065</v>
      </c>
      <c r="L47" s="18"/>
      <c r="M47" s="18"/>
      <c r="N47" s="18"/>
      <c r="O47" s="18"/>
      <c r="P47" s="18"/>
    </row>
    <row r="48" spans="1:16">
      <c r="A48">
        <v>23</v>
      </c>
      <c r="B48" s="5">
        <v>53155</v>
      </c>
      <c r="C48" s="20">
        <v>0.61979555389178442</v>
      </c>
      <c r="D48" s="20">
        <v>0.60629619276544222</v>
      </c>
      <c r="E48" s="20">
        <v>1.40215834415629E-2</v>
      </c>
      <c r="F48" s="20">
        <v>0.50277777777777777</v>
      </c>
      <c r="G48" s="20">
        <v>0</v>
      </c>
      <c r="H48" s="20"/>
      <c r="I48" s="20"/>
      <c r="J48" s="20">
        <f t="shared" si="16"/>
        <v>0.40213893790139749</v>
      </c>
      <c r="K48" s="20">
        <f t="shared" si="20"/>
        <v>0.60721922317351129</v>
      </c>
      <c r="L48" s="18"/>
      <c r="M48" s="18"/>
      <c r="N48" s="18"/>
      <c r="O48" s="18"/>
      <c r="P48" s="18"/>
    </row>
    <row r="49" spans="1:16">
      <c r="A49">
        <v>23.5</v>
      </c>
      <c r="B49" s="5">
        <v>53339</v>
      </c>
      <c r="C49" s="20">
        <v>0.61498122338346772</v>
      </c>
      <c r="D49" s="20">
        <v>0.60209061125679897</v>
      </c>
      <c r="E49" s="20">
        <v>1.36662347718224E-2</v>
      </c>
      <c r="F49" s="20">
        <v>0.51111111111111107</v>
      </c>
      <c r="G49" s="20">
        <v>0</v>
      </c>
      <c r="H49" s="20"/>
      <c r="I49" s="20"/>
      <c r="J49" s="20">
        <f t="shared" si="16"/>
        <v>0.40643455987734156</v>
      </c>
      <c r="K49" s="20">
        <f t="shared" si="20"/>
        <v>0.60300723905231268</v>
      </c>
      <c r="L49" s="18"/>
      <c r="M49" s="18"/>
      <c r="N49" s="18"/>
      <c r="O49" s="18"/>
      <c r="P49" s="18"/>
    </row>
    <row r="50" spans="1:16">
      <c r="A50">
        <v>24</v>
      </c>
      <c r="B50" s="5">
        <v>53520</v>
      </c>
      <c r="C50" s="20">
        <v>0.61037562509683041</v>
      </c>
      <c r="D50" s="20">
        <v>0.59808983719780817</v>
      </c>
      <c r="E50" s="20">
        <v>1.3304591007762099E-2</v>
      </c>
      <c r="F50" s="20">
        <v>0.50277777777777777</v>
      </c>
      <c r="G50" s="20">
        <v>0</v>
      </c>
      <c r="H50" s="20"/>
      <c r="I50" s="20"/>
      <c r="J50" s="20">
        <f t="shared" si="16"/>
        <v>0.41051751667622127</v>
      </c>
      <c r="K50" s="20">
        <f t="shared" si="20"/>
        <v>0.59900037418134533</v>
      </c>
      <c r="L50" s="18"/>
      <c r="M50" s="18"/>
      <c r="N50" s="18"/>
      <c r="O50" s="18"/>
      <c r="P50" s="18"/>
    </row>
    <row r="51" spans="1:16">
      <c r="A51">
        <v>24.5</v>
      </c>
      <c r="B51" s="5">
        <v>53706</v>
      </c>
      <c r="C51" s="20">
        <v>0.60577431036681406</v>
      </c>
      <c r="D51" s="20">
        <v>0.59411834436985755</v>
      </c>
      <c r="E51" s="20">
        <v>1.29380962311729E-2</v>
      </c>
      <c r="F51" s="20">
        <v>0.51666666666666672</v>
      </c>
      <c r="G51" s="20">
        <v>0</v>
      </c>
      <c r="H51" s="20"/>
      <c r="I51" s="20"/>
      <c r="J51" s="20">
        <f t="shared" si="16"/>
        <v>0.41456692594253536</v>
      </c>
      <c r="K51" s="20">
        <f t="shared" si="20"/>
        <v>0.5950228351194099</v>
      </c>
      <c r="L51" s="18"/>
      <c r="M51" s="18"/>
      <c r="N51" s="18"/>
      <c r="O51" s="18"/>
      <c r="P51" s="18"/>
    </row>
    <row r="52" spans="1:16">
      <c r="A52">
        <v>25</v>
      </c>
      <c r="B52" s="5">
        <v>53885</v>
      </c>
      <c r="C52" s="20">
        <v>0.60146922482722898</v>
      </c>
      <c r="D52" s="20">
        <v>0.59042925412809355</v>
      </c>
      <c r="E52" s="20">
        <v>1.2563696621126301E-2</v>
      </c>
      <c r="F52" s="20">
        <v>0.49722222222222218</v>
      </c>
      <c r="G52" s="20">
        <v>2.1509999999999998</v>
      </c>
      <c r="H52" s="20">
        <v>1.002777777777778</v>
      </c>
      <c r="I52" s="20">
        <v>20.04276006411229</v>
      </c>
      <c r="J52" s="20">
        <f t="shared" si="16"/>
        <v>0.41832427360729513</v>
      </c>
      <c r="K52" s="20">
        <f t="shared" si="20"/>
        <v>0.59132883396078728</v>
      </c>
      <c r="L52" s="18"/>
      <c r="M52" s="18">
        <f>K52</f>
        <v>0.59132883396078728</v>
      </c>
      <c r="N52" s="18"/>
      <c r="O52" s="18"/>
      <c r="P52" s="18"/>
    </row>
    <row r="53" spans="1:16">
      <c r="A53">
        <v>25.5</v>
      </c>
      <c r="B53" s="5">
        <v>54070</v>
      </c>
      <c r="C53" s="20">
        <v>0.59714179724358019</v>
      </c>
      <c r="D53" s="20">
        <v>0.58675019054605404</v>
      </c>
      <c r="E53" s="20">
        <v>1.22015450147267E-2</v>
      </c>
      <c r="F53" s="20">
        <v>0.51388888888888884</v>
      </c>
      <c r="G53" s="20">
        <v>0</v>
      </c>
      <c r="H53" s="20"/>
      <c r="I53" s="20"/>
      <c r="J53" s="20">
        <f t="shared" si="16"/>
        <v>0.42206849504079469</v>
      </c>
      <c r="K53" s="20">
        <f t="shared" si="20"/>
        <v>0.58764416494612659</v>
      </c>
      <c r="L53" s="18"/>
      <c r="M53" s="18"/>
      <c r="N53" s="18"/>
      <c r="O53" s="18"/>
      <c r="P53" s="18"/>
    </row>
    <row r="54" spans="1:16">
      <c r="A54">
        <v>26</v>
      </c>
      <c r="B54" s="5">
        <v>54252</v>
      </c>
      <c r="C54" s="20">
        <v>0.59299302894571138</v>
      </c>
      <c r="D54" s="20">
        <v>0.58325070461122197</v>
      </c>
      <c r="E54" s="20">
        <v>1.1868069830263801E-2</v>
      </c>
      <c r="F54" s="20">
        <v>0.50555555555555554</v>
      </c>
      <c r="G54" s="20">
        <v>0</v>
      </c>
      <c r="H54" s="20"/>
      <c r="I54" s="20"/>
      <c r="J54" s="20">
        <f t="shared" si="16"/>
        <v>0.42562643461607941</v>
      </c>
      <c r="K54" s="20">
        <f t="shared" si="20"/>
        <v>0.58413934718373051</v>
      </c>
      <c r="L54" s="18"/>
      <c r="M54" s="18"/>
      <c r="N54" s="18"/>
      <c r="O54" s="18"/>
      <c r="P54" s="18"/>
    </row>
    <row r="55" spans="1:16">
      <c r="A55">
        <v>26.5</v>
      </c>
      <c r="B55" s="5">
        <v>54435</v>
      </c>
      <c r="C55" s="20">
        <v>0.58891583250939061</v>
      </c>
      <c r="D55" s="20">
        <v>0.57983716615897962</v>
      </c>
      <c r="E55" s="20">
        <v>1.15805884799351E-2</v>
      </c>
      <c r="F55" s="20">
        <v>0.5083333333333333</v>
      </c>
      <c r="G55" s="20">
        <v>0</v>
      </c>
      <c r="H55" s="20"/>
      <c r="I55" s="20"/>
      <c r="J55" s="20">
        <f t="shared" si="16"/>
        <v>0.42909326383476432</v>
      </c>
      <c r="K55" s="20">
        <f t="shared" si="20"/>
        <v>0.5807207607067183</v>
      </c>
      <c r="L55" s="18"/>
      <c r="M55" s="18"/>
      <c r="N55" s="18"/>
      <c r="O55" s="18"/>
      <c r="P55" s="18"/>
    </row>
    <row r="56" spans="1:16">
      <c r="A56">
        <v>27</v>
      </c>
      <c r="B56" s="5">
        <v>54616</v>
      </c>
      <c r="C56" s="20">
        <v>0.58496282841536662</v>
      </c>
      <c r="D56" s="20">
        <v>0.57655059372333639</v>
      </c>
      <c r="E56" s="20">
        <v>1.13378239913883E-2</v>
      </c>
      <c r="F56" s="20">
        <v>0.50277777777777777</v>
      </c>
      <c r="G56" s="20">
        <v>0</v>
      </c>
      <c r="H56" s="20"/>
      <c r="I56" s="20"/>
      <c r="J56" s="20">
        <f t="shared" si="16"/>
        <v>0.43242778942310917</v>
      </c>
      <c r="K56" s="20">
        <f t="shared" si="20"/>
        <v>0.57742917997278997</v>
      </c>
      <c r="L56" s="18"/>
      <c r="M56" s="18"/>
      <c r="N56" s="18"/>
      <c r="O56" s="18"/>
      <c r="P56" s="18"/>
    </row>
    <row r="57" spans="1:16">
      <c r="A57">
        <v>27.5</v>
      </c>
      <c r="B57" s="5">
        <v>54800</v>
      </c>
      <c r="C57" s="20">
        <v>0.58101208887308553</v>
      </c>
      <c r="D57" s="20">
        <v>0.57328687722651306</v>
      </c>
      <c r="E57" s="20">
        <v>1.1138458824115899E-2</v>
      </c>
      <c r="F57" s="20">
        <v>0.51111111111111107</v>
      </c>
      <c r="G57" s="20">
        <v>0</v>
      </c>
      <c r="H57" s="20"/>
      <c r="I57" s="20"/>
      <c r="J57" s="20">
        <f t="shared" si="16"/>
        <v>0.43573548547309154</v>
      </c>
      <c r="K57" s="20">
        <f t="shared" si="20"/>
        <v>0.57416049000708558</v>
      </c>
      <c r="L57" s="18"/>
      <c r="M57" s="18"/>
      <c r="N57" s="18"/>
      <c r="O57" s="18"/>
      <c r="P57" s="18"/>
    </row>
    <row r="58" spans="1:16">
      <c r="A58">
        <v>28</v>
      </c>
      <c r="B58" s="5">
        <v>54981</v>
      </c>
      <c r="C58" s="20">
        <v>0.57717966116032426</v>
      </c>
      <c r="D58" s="20">
        <v>0.57013896952900966</v>
      </c>
      <c r="E58" s="20">
        <v>1.09815890846915E-2</v>
      </c>
      <c r="F58" s="20">
        <v>0.50277777777777777</v>
      </c>
      <c r="G58" s="20">
        <v>0</v>
      </c>
      <c r="H58" s="20"/>
      <c r="I58" s="20"/>
      <c r="J58" s="20">
        <f t="shared" si="16"/>
        <v>0.4389222669339517</v>
      </c>
      <c r="K58" s="20">
        <f t="shared" si="20"/>
        <v>0.57100778531787377</v>
      </c>
      <c r="L58" s="18"/>
      <c r="M58" s="18"/>
      <c r="N58" s="18"/>
      <c r="O58" s="18"/>
      <c r="P58" s="18"/>
    </row>
    <row r="59" spans="1:16">
      <c r="A59">
        <v>28.5</v>
      </c>
      <c r="B59" s="5">
        <v>55165</v>
      </c>
      <c r="C59" s="20">
        <v>0.57332577765484094</v>
      </c>
      <c r="D59" s="20">
        <v>0.56698905422546453</v>
      </c>
      <c r="E59" s="20">
        <v>1.0869482791382201E-2</v>
      </c>
      <c r="F59" s="20">
        <v>0.51111111111111107</v>
      </c>
      <c r="G59" s="20">
        <v>0</v>
      </c>
      <c r="H59" s="20"/>
      <c r="I59" s="20"/>
      <c r="J59" s="20">
        <f t="shared" si="16"/>
        <v>0.4421073859895901</v>
      </c>
      <c r="K59" s="20">
        <f t="shared" si="20"/>
        <v>0.56785306996329621</v>
      </c>
      <c r="L59" s="18"/>
      <c r="M59" s="18"/>
      <c r="N59" s="18"/>
      <c r="O59" s="18"/>
      <c r="P59" s="18"/>
    </row>
    <row r="60" spans="1:16">
      <c r="A60">
        <v>29</v>
      </c>
      <c r="B60" s="5">
        <v>55346</v>
      </c>
      <c r="C60" s="20">
        <v>0.56956397983013385</v>
      </c>
      <c r="D60" s="20">
        <v>0.56392695819486949</v>
      </c>
      <c r="E60" s="20">
        <v>1.07999035290495E-2</v>
      </c>
      <c r="F60" s="20">
        <v>0.50277777777777777</v>
      </c>
      <c r="G60" s="20">
        <v>0</v>
      </c>
      <c r="H60" s="20"/>
      <c r="I60" s="20"/>
      <c r="J60" s="20">
        <f t="shared" si="16"/>
        <v>0.44520009077424966</v>
      </c>
      <c r="K60" s="20">
        <f t="shared" si="20"/>
        <v>0.56478630770653426</v>
      </c>
      <c r="L60" s="18"/>
      <c r="M60" s="18"/>
      <c r="N60" s="18"/>
      <c r="O60" s="18"/>
      <c r="P60" s="18"/>
    </row>
    <row r="61" spans="1:16">
      <c r="A61">
        <v>29.5</v>
      </c>
      <c r="B61" s="5">
        <v>55530</v>
      </c>
      <c r="C61" s="20">
        <v>0.56575749067846093</v>
      </c>
      <c r="D61" s="20">
        <v>0.56083828488264831</v>
      </c>
      <c r="E61" s="20">
        <v>1.0775042723228601E-2</v>
      </c>
      <c r="F61" s="20">
        <v>0.51111111111111107</v>
      </c>
      <c r="G61" s="20">
        <v>0</v>
      </c>
      <c r="H61" s="20"/>
      <c r="I61" s="20"/>
      <c r="J61" s="20">
        <f t="shared" si="16"/>
        <v>0.4483158553533626</v>
      </c>
      <c r="K61" s="20">
        <f>(K62*(G62/100*I62-J61+C62)/C62)</f>
        <v>0.56169292766791168</v>
      </c>
      <c r="L61" s="18"/>
      <c r="M61" s="18"/>
      <c r="N61" s="18"/>
      <c r="O61" s="18"/>
      <c r="P61" s="18"/>
    </row>
    <row r="62" spans="1:16">
      <c r="A62">
        <v>30</v>
      </c>
      <c r="B62" s="5">
        <v>55712</v>
      </c>
      <c r="C62" s="20">
        <v>0.56199826955425991</v>
      </c>
      <c r="D62" s="20">
        <v>0.55779469673686044</v>
      </c>
      <c r="E62" s="20">
        <v>1.0793010904611801E-2</v>
      </c>
      <c r="F62" s="20">
        <v>0.50555555555555554</v>
      </c>
      <c r="G62" s="20">
        <v>2.0202905936586784</v>
      </c>
      <c r="H62" s="20">
        <v>1</v>
      </c>
      <c r="I62" s="20">
        <v>22.334839906326771</v>
      </c>
      <c r="J62" s="20">
        <f t="shared" si="16"/>
        <v>0.45138238015393017</v>
      </c>
      <c r="K62" s="20">
        <f t="shared" ref="K62:K70" si="21">K63*(1+E63*F63)</f>
        <v>0.55879670685547633</v>
      </c>
      <c r="L62" s="18"/>
      <c r="M62" s="18">
        <f>K62</f>
        <v>0.55879670685547633</v>
      </c>
      <c r="N62" s="18"/>
      <c r="O62" s="18"/>
      <c r="P62" s="18"/>
    </row>
    <row r="63" spans="1:16">
      <c r="A63">
        <v>30.5</v>
      </c>
      <c r="B63" s="5">
        <v>55897</v>
      </c>
      <c r="C63" s="20">
        <v>0.55817405862420799</v>
      </c>
      <c r="D63" s="20">
        <v>0.55470287369725568</v>
      </c>
      <c r="E63" s="20">
        <v>1.0846384244233899E-2</v>
      </c>
      <c r="F63" s="20">
        <v>0.51388888888888884</v>
      </c>
      <c r="G63" s="20">
        <v>0</v>
      </c>
      <c r="H63" s="20"/>
      <c r="I63" s="20"/>
      <c r="J63" s="20">
        <f t="shared" si="16"/>
        <v>0.45449355101025046</v>
      </c>
      <c r="K63" s="20">
        <f t="shared" si="21"/>
        <v>0.55569932973300062</v>
      </c>
      <c r="L63" s="18"/>
      <c r="M63" s="18"/>
      <c r="N63" s="18"/>
      <c r="O63" s="18"/>
      <c r="P63" s="18"/>
    </row>
    <row r="64" spans="1:16">
      <c r="A64">
        <v>31</v>
      </c>
      <c r="B64" s="5">
        <v>56079</v>
      </c>
      <c r="C64" s="20">
        <v>0.55441017461360897</v>
      </c>
      <c r="D64" s="20">
        <v>0.55166414272305053</v>
      </c>
      <c r="E64" s="20">
        <v>1.08955362271776E-2</v>
      </c>
      <c r="F64" s="20">
        <v>0.50555555555555554</v>
      </c>
      <c r="G64" s="20">
        <v>0</v>
      </c>
      <c r="H64" s="20"/>
      <c r="I64" s="20"/>
      <c r="J64" s="20">
        <f t="shared" si="16"/>
        <v>0.45754740794881643</v>
      </c>
      <c r="K64" s="20">
        <f t="shared" si="21"/>
        <v>0.55265514004934246</v>
      </c>
      <c r="L64" s="18"/>
      <c r="M64" s="18"/>
      <c r="N64" s="18"/>
      <c r="O64" s="18"/>
      <c r="P64" s="18"/>
    </row>
    <row r="65" spans="1:16">
      <c r="A65">
        <v>31.5</v>
      </c>
      <c r="B65" s="5">
        <v>56261</v>
      </c>
      <c r="C65" s="20">
        <v>0.55064827385461712</v>
      </c>
      <c r="D65" s="20">
        <v>0.5486319065880878</v>
      </c>
      <c r="E65" s="20">
        <v>1.0932826565357399E-2</v>
      </c>
      <c r="F65" s="20">
        <v>0.50555555555555554</v>
      </c>
      <c r="G65" s="20">
        <v>0</v>
      </c>
      <c r="H65" s="20"/>
      <c r="I65" s="20"/>
      <c r="J65" s="20">
        <f t="shared" si="16"/>
        <v>0.46059092422085812</v>
      </c>
      <c r="K65" s="20">
        <f t="shared" si="21"/>
        <v>0.54961732200406699</v>
      </c>
      <c r="L65" s="18"/>
      <c r="M65" s="18"/>
      <c r="N65" s="18"/>
      <c r="O65" s="18"/>
      <c r="P65" s="18"/>
    </row>
    <row r="66" spans="1:16">
      <c r="A66">
        <v>32</v>
      </c>
      <c r="B66" s="5">
        <v>56443</v>
      </c>
      <c r="C66" s="20">
        <v>0.546891901283866</v>
      </c>
      <c r="D66" s="20">
        <v>0.54560963384076011</v>
      </c>
      <c r="E66" s="20">
        <v>1.0956774856977301E-2</v>
      </c>
      <c r="F66" s="20">
        <v>0.50555555555555554</v>
      </c>
      <c r="G66" s="20">
        <v>0</v>
      </c>
      <c r="H66" s="20"/>
      <c r="I66" s="20"/>
      <c r="J66" s="20">
        <f t="shared" si="16"/>
        <v>0.46362029977889097</v>
      </c>
      <c r="K66" s="20">
        <f t="shared" si="21"/>
        <v>0.54658962085543639</v>
      </c>
      <c r="L66" s="18"/>
      <c r="M66" s="18"/>
      <c r="N66" s="18"/>
      <c r="O66" s="18"/>
      <c r="P66" s="18"/>
    </row>
    <row r="67" spans="1:16">
      <c r="A67">
        <v>32.5</v>
      </c>
      <c r="B67" s="5">
        <v>56626</v>
      </c>
      <c r="C67" s="20">
        <v>0.5431239515609213</v>
      </c>
      <c r="D67" s="20">
        <v>0.54258422783504157</v>
      </c>
      <c r="E67" s="20">
        <v>1.09691991996723E-2</v>
      </c>
      <c r="F67" s="20">
        <v>0.5083333333333333</v>
      </c>
      <c r="G67" s="20">
        <v>0</v>
      </c>
      <c r="H67" s="20"/>
      <c r="I67" s="20"/>
      <c r="J67" s="20">
        <f t="shared" si="16"/>
        <v>0.46664876414307332</v>
      </c>
      <c r="K67" s="20">
        <f t="shared" si="21"/>
        <v>0.54355873215051553</v>
      </c>
      <c r="L67" s="18"/>
      <c r="M67" s="18"/>
      <c r="N67" s="18"/>
      <c r="O67" s="18"/>
      <c r="P67" s="18"/>
    </row>
    <row r="68" spans="1:16">
      <c r="A68">
        <v>33</v>
      </c>
      <c r="B68" s="5">
        <v>56807</v>
      </c>
      <c r="C68" s="20">
        <v>0.53940946446737725</v>
      </c>
      <c r="D68" s="20">
        <v>0.53960847472234175</v>
      </c>
      <c r="E68" s="20">
        <v>1.0968369202468299E-2</v>
      </c>
      <c r="F68" s="20">
        <v>0.50277777777777777</v>
      </c>
      <c r="G68" s="20">
        <v>0</v>
      </c>
      <c r="H68" s="20"/>
      <c r="I68" s="20"/>
      <c r="J68" s="20">
        <f t="shared" ref="J68:J99" si="22">J67+(E68*F68*C68)</f>
        <v>0.4696234197834141</v>
      </c>
      <c r="K68" s="20">
        <f t="shared" si="21"/>
        <v>0.5405776344588521</v>
      </c>
      <c r="L68" s="18"/>
      <c r="M68" s="18"/>
      <c r="N68" s="18"/>
      <c r="O68" s="18"/>
      <c r="P68" s="18"/>
    </row>
    <row r="69" spans="1:16">
      <c r="A69">
        <v>33.5</v>
      </c>
      <c r="B69" s="5">
        <v>56991</v>
      </c>
      <c r="C69" s="20">
        <v>0.53564926141067259</v>
      </c>
      <c r="D69" s="20">
        <v>0.53660360945520758</v>
      </c>
      <c r="E69" s="20">
        <v>1.0956102632769599E-2</v>
      </c>
      <c r="F69" s="20">
        <v>0.51111111111111107</v>
      </c>
      <c r="G69" s="20">
        <v>0</v>
      </c>
      <c r="H69" s="20"/>
      <c r="I69" s="20"/>
      <c r="J69" s="20">
        <f t="shared" si="22"/>
        <v>0.47262294090592966</v>
      </c>
      <c r="K69" s="20">
        <f t="shared" si="21"/>
        <v>0.53756737232608864</v>
      </c>
      <c r="L69" s="18"/>
      <c r="M69" s="18"/>
      <c r="N69" s="18"/>
      <c r="O69" s="18"/>
      <c r="P69" s="18"/>
    </row>
    <row r="70" spans="1:16">
      <c r="A70">
        <v>34</v>
      </c>
      <c r="B70" s="5">
        <v>57173</v>
      </c>
      <c r="C70" s="20">
        <v>0.53194885680512016</v>
      </c>
      <c r="D70" s="20">
        <v>0.53365464410213215</v>
      </c>
      <c r="E70" s="20">
        <v>1.0930511605727E-2</v>
      </c>
      <c r="F70" s="20">
        <v>0.50555555555555554</v>
      </c>
      <c r="G70" s="20">
        <v>0</v>
      </c>
      <c r="H70" s="20"/>
      <c r="I70" s="20"/>
      <c r="J70" s="20">
        <f t="shared" si="22"/>
        <v>0.47556248011103802</v>
      </c>
      <c r="K70" s="20">
        <f t="shared" si="21"/>
        <v>0.53461311050600346</v>
      </c>
      <c r="L70" s="18"/>
      <c r="M70" s="18"/>
      <c r="N70" s="18"/>
      <c r="O70" s="18"/>
      <c r="P70" s="18"/>
    </row>
    <row r="71" spans="1:16">
      <c r="A71">
        <v>34.5</v>
      </c>
      <c r="B71" s="5">
        <v>57357</v>
      </c>
      <c r="C71" s="20">
        <v>0.52823009110863162</v>
      </c>
      <c r="D71" s="20">
        <v>0.53069993891946243</v>
      </c>
      <c r="E71" s="20">
        <v>1.0893057448593301E-2</v>
      </c>
      <c r="F71" s="20">
        <v>0.51111111111111107</v>
      </c>
      <c r="G71" s="20">
        <v>0</v>
      </c>
      <c r="H71" s="20"/>
      <c r="I71" s="20"/>
      <c r="J71" s="20">
        <f t="shared" si="22"/>
        <v>0.47850343426117148</v>
      </c>
      <c r="K71" s="20">
        <f>(K72*(G72/100*I72-J71+C72)/C72)</f>
        <v>0.53165309854734621</v>
      </c>
      <c r="L71" s="18"/>
      <c r="M71" s="18"/>
      <c r="N71" s="18"/>
      <c r="O71" s="18"/>
      <c r="P71" s="18"/>
    </row>
    <row r="72" spans="1:16">
      <c r="A72">
        <v>35</v>
      </c>
      <c r="B72" s="5">
        <v>57538</v>
      </c>
      <c r="C72" s="20">
        <v>0.52459684006245333</v>
      </c>
      <c r="D72" s="20">
        <v>0.52782259332972981</v>
      </c>
      <c r="E72" s="20">
        <v>1.08424636949378E-2</v>
      </c>
      <c r="F72" s="20">
        <v>0.50277777777777777</v>
      </c>
      <c r="G72" s="20">
        <v>1.9222288175111497</v>
      </c>
      <c r="H72" s="20">
        <v>1</v>
      </c>
      <c r="I72" s="20">
        <v>25.032159696291082</v>
      </c>
      <c r="J72" s="20">
        <f t="shared" si="22"/>
        <v>0.48136319514146864</v>
      </c>
      <c r="K72" s="20">
        <f t="shared" ref="K72:K80" si="23">K73*(1+E73*F73)</f>
        <v>0.52895892785981691</v>
      </c>
      <c r="L72" s="18"/>
      <c r="M72" s="18">
        <f>K72</f>
        <v>0.52895892785981691</v>
      </c>
      <c r="N72" s="18"/>
      <c r="O72" s="18"/>
      <c r="P72" s="18"/>
    </row>
    <row r="73" spans="1:16">
      <c r="A73">
        <v>35.5</v>
      </c>
      <c r="B73" s="5">
        <v>57724</v>
      </c>
      <c r="C73" s="20">
        <v>0.52089196930492376</v>
      </c>
      <c r="D73" s="20">
        <v>0.5248990250607739</v>
      </c>
      <c r="E73" s="20">
        <v>1.07802052586819E-2</v>
      </c>
      <c r="F73" s="20">
        <v>0.51666666666666672</v>
      </c>
      <c r="G73" s="20">
        <v>0</v>
      </c>
      <c r="H73" s="20"/>
      <c r="I73" s="20"/>
      <c r="J73" s="20">
        <f t="shared" si="22"/>
        <v>0.48426444502060012</v>
      </c>
      <c r="K73" s="20">
        <f t="shared" si="23"/>
        <v>0.5260290655223292</v>
      </c>
      <c r="L73" s="18"/>
      <c r="M73" s="18"/>
      <c r="N73" s="18"/>
      <c r="O73" s="18"/>
      <c r="P73" s="18"/>
    </row>
    <row r="74" spans="1:16">
      <c r="A74">
        <v>36</v>
      </c>
      <c r="B74" s="5">
        <v>57903</v>
      </c>
      <c r="C74" s="20">
        <v>0.51735683932539711</v>
      </c>
      <c r="D74" s="20">
        <v>0.5221203071921855</v>
      </c>
      <c r="E74" s="20">
        <v>1.07032216274824E-2</v>
      </c>
      <c r="F74" s="20">
        <v>0.49722222222222218</v>
      </c>
      <c r="G74" s="20">
        <v>0</v>
      </c>
      <c r="H74" s="20"/>
      <c r="I74" s="20"/>
      <c r="J74" s="20">
        <f t="shared" si="22"/>
        <v>0.4870177558517419</v>
      </c>
      <c r="K74" s="20">
        <f t="shared" si="23"/>
        <v>0.52324442168647611</v>
      </c>
      <c r="L74" s="18"/>
      <c r="M74" s="18"/>
      <c r="N74" s="18"/>
      <c r="O74" s="18"/>
      <c r="P74" s="18"/>
    </row>
    <row r="75" spans="1:16">
      <c r="A75">
        <v>36.5</v>
      </c>
      <c r="B75" s="5">
        <v>58088</v>
      </c>
      <c r="C75" s="20">
        <v>0.51373727224032295</v>
      </c>
      <c r="D75" s="20">
        <v>0.51928740042500721</v>
      </c>
      <c r="E75" s="20">
        <v>1.06158621108882E-2</v>
      </c>
      <c r="F75" s="20">
        <v>0.51388888888888884</v>
      </c>
      <c r="G75" s="20">
        <v>0</v>
      </c>
      <c r="H75" s="20"/>
      <c r="I75" s="20"/>
      <c r="J75" s="20">
        <f t="shared" si="22"/>
        <v>0.48982038459622945</v>
      </c>
      <c r="K75" s="20">
        <f t="shared" si="23"/>
        <v>0.52040541572814569</v>
      </c>
      <c r="L75" s="18"/>
      <c r="M75" s="18"/>
      <c r="N75" s="18"/>
      <c r="O75" s="18"/>
      <c r="P75" s="18"/>
    </row>
    <row r="76" spans="1:16">
      <c r="A76">
        <v>37</v>
      </c>
      <c r="B76" s="5">
        <v>58270</v>
      </c>
      <c r="C76" s="20">
        <v>0.51021287719542696</v>
      </c>
      <c r="D76" s="20">
        <v>0.51654201597351568</v>
      </c>
      <c r="E76" s="20">
        <v>1.05130475648442E-2</v>
      </c>
      <c r="F76" s="20">
        <v>0.50555555555555554</v>
      </c>
      <c r="G76" s="20">
        <v>0</v>
      </c>
      <c r="H76" s="20"/>
      <c r="I76" s="20"/>
      <c r="J76" s="20">
        <f t="shared" si="22"/>
        <v>0.49253213012067271</v>
      </c>
      <c r="K76" s="20">
        <f t="shared" si="23"/>
        <v>0.51765412051928306</v>
      </c>
      <c r="L76" s="18"/>
      <c r="M76" s="18"/>
      <c r="N76" s="18"/>
      <c r="O76" s="18"/>
      <c r="P76" s="18"/>
    </row>
    <row r="77" spans="1:16">
      <c r="A77">
        <v>37.5</v>
      </c>
      <c r="B77" s="5">
        <v>58452</v>
      </c>
      <c r="C77" s="20">
        <v>0.50672726759364373</v>
      </c>
      <c r="D77" s="20">
        <v>0.51384074987513662</v>
      </c>
      <c r="E77" s="20">
        <v>1.0398104339398801E-2</v>
      </c>
      <c r="F77" s="20">
        <v>0.50555555555555554</v>
      </c>
      <c r="G77" s="20">
        <v>0</v>
      </c>
      <c r="H77" s="20"/>
      <c r="I77" s="20"/>
      <c r="J77" s="20">
        <f t="shared" si="22"/>
        <v>0.4951959038595905</v>
      </c>
      <c r="K77" s="20">
        <f t="shared" si="23"/>
        <v>0.5149471364143513</v>
      </c>
      <c r="L77" s="18"/>
      <c r="M77" s="18"/>
      <c r="N77" s="18"/>
      <c r="O77" s="18"/>
      <c r="P77" s="18"/>
    </row>
    <row r="78" spans="1:16">
      <c r="A78">
        <v>38</v>
      </c>
      <c r="B78" s="5">
        <v>58634</v>
      </c>
      <c r="C78" s="20">
        <v>0.50328295965269065</v>
      </c>
      <c r="D78" s="20">
        <v>0.51118640050096331</v>
      </c>
      <c r="E78" s="20">
        <v>1.0270933253150399E-2</v>
      </c>
      <c r="F78" s="20">
        <v>0.50555555555555554</v>
      </c>
      <c r="G78" s="20">
        <v>0</v>
      </c>
      <c r="H78" s="20"/>
      <c r="I78" s="20"/>
      <c r="J78" s="20">
        <f t="shared" si="22"/>
        <v>0.49780921440086667</v>
      </c>
      <c r="K78" s="20">
        <f t="shared" si="23"/>
        <v>0.51228707177446842</v>
      </c>
      <c r="L78" s="18"/>
      <c r="M78" s="18"/>
      <c r="N78" s="18"/>
      <c r="O78" s="18"/>
      <c r="P78" s="18"/>
    </row>
    <row r="79" spans="1:16">
      <c r="A79">
        <v>38.5</v>
      </c>
      <c r="B79" s="5">
        <v>58818</v>
      </c>
      <c r="C79" s="20">
        <v>0.49984527842257231</v>
      </c>
      <c r="D79" s="20">
        <v>0.50855337125243827</v>
      </c>
      <c r="E79" s="20">
        <v>1.0129868870633E-2</v>
      </c>
      <c r="F79" s="20">
        <v>0.51111111111111107</v>
      </c>
      <c r="G79" s="20">
        <v>0</v>
      </c>
      <c r="H79" s="20"/>
      <c r="I79" s="20"/>
      <c r="J79" s="20">
        <f t="shared" si="22"/>
        <v>0.50039715759861314</v>
      </c>
      <c r="K79" s="20">
        <f t="shared" si="23"/>
        <v>0.5096483731660908</v>
      </c>
      <c r="L79" s="18"/>
      <c r="M79" s="18"/>
      <c r="N79" s="18"/>
      <c r="O79" s="18"/>
      <c r="P79" s="18"/>
    </row>
    <row r="80" spans="1:16">
      <c r="A80">
        <v>39</v>
      </c>
      <c r="B80" s="5">
        <v>58999</v>
      </c>
      <c r="C80" s="20">
        <v>0.49650964556268212</v>
      </c>
      <c r="D80" s="20">
        <v>0.50601548457043399</v>
      </c>
      <c r="E80" s="20">
        <v>9.9754465449435996E-3</v>
      </c>
      <c r="F80" s="20">
        <v>0.50277777777777777</v>
      </c>
      <c r="G80" s="20">
        <v>0</v>
      </c>
      <c r="H80" s="20"/>
      <c r="I80" s="20"/>
      <c r="J80" s="20">
        <f t="shared" si="22"/>
        <v>0.50288736838342718</v>
      </c>
      <c r="K80" s="20">
        <f t="shared" si="23"/>
        <v>0.50710502198236351</v>
      </c>
      <c r="L80" s="18"/>
      <c r="M80" s="18"/>
      <c r="N80" s="18"/>
      <c r="O80" s="18"/>
      <c r="P80" s="18"/>
    </row>
    <row r="81" spans="1:16">
      <c r="A81">
        <v>39.5</v>
      </c>
      <c r="B81" s="5">
        <v>59183</v>
      </c>
      <c r="C81" s="20">
        <v>0.49316783235733408</v>
      </c>
      <c r="D81" s="20">
        <v>0.50349129580180585</v>
      </c>
      <c r="E81" s="20">
        <v>9.8087697655727703E-3</v>
      </c>
      <c r="F81" s="20">
        <v>0.51111111111111107</v>
      </c>
      <c r="G81" s="20">
        <v>0</v>
      </c>
      <c r="H81" s="20"/>
      <c r="I81" s="20"/>
      <c r="J81" s="20">
        <f t="shared" si="22"/>
        <v>0.50535980179759898</v>
      </c>
      <c r="K81" s="20">
        <f>(K82*(G82/100*I82-J81+C82))/C82</f>
        <v>0.50457539820594999</v>
      </c>
      <c r="L81" s="18"/>
      <c r="M81" s="18"/>
      <c r="N81" s="18"/>
      <c r="O81" s="18"/>
      <c r="P81" s="18"/>
    </row>
    <row r="82" spans="1:16">
      <c r="A82">
        <v>40</v>
      </c>
      <c r="B82" s="5">
        <v>59364</v>
      </c>
      <c r="C82" s="20">
        <v>0.48993103816542471</v>
      </c>
      <c r="D82" s="20">
        <v>0.50106569279954849</v>
      </c>
      <c r="E82" s="20">
        <v>9.6282859328103293E-3</v>
      </c>
      <c r="F82" s="20">
        <v>0.50277777777777777</v>
      </c>
      <c r="G82" s="20">
        <v>1.8421647239015626</v>
      </c>
      <c r="H82" s="20">
        <v>1</v>
      </c>
      <c r="I82" s="20">
        <v>27.549491555734601</v>
      </c>
      <c r="J82" s="20">
        <f t="shared" si="22"/>
        <v>0.50773150318157001</v>
      </c>
      <c r="K82" s="21">
        <f t="shared" ref="K82:K100" si="24">K83*(1+E83*F83)</f>
        <v>0.50237365289259295</v>
      </c>
      <c r="L82" s="19">
        <v>0.50237365289259295</v>
      </c>
      <c r="M82" s="18">
        <f>K82</f>
        <v>0.50237365289259295</v>
      </c>
      <c r="N82" s="18"/>
      <c r="O82" s="18"/>
      <c r="P82" s="18"/>
    </row>
    <row r="83" spans="1:16">
      <c r="A83">
        <v>40.5</v>
      </c>
      <c r="B83" s="5">
        <v>59548</v>
      </c>
      <c r="C83" s="20">
        <v>0.48669362634470931</v>
      </c>
      <c r="D83" s="20">
        <v>0.49865975423065317</v>
      </c>
      <c r="E83" s="20">
        <v>9.4398456525104004E-3</v>
      </c>
      <c r="F83" s="20">
        <v>0.51111111111111107</v>
      </c>
      <c r="G83" s="20">
        <v>0</v>
      </c>
      <c r="H83" s="20"/>
      <c r="I83" s="20"/>
      <c r="J83" s="20">
        <f t="shared" si="22"/>
        <v>0.51007970745697795</v>
      </c>
      <c r="K83" s="20">
        <f t="shared" si="24"/>
        <v>0.499961433966292</v>
      </c>
      <c r="L83" s="18"/>
      <c r="M83" s="18"/>
      <c r="N83" s="18"/>
      <c r="O83" s="18"/>
      <c r="P83" s="18"/>
    </row>
    <row r="84" spans="1:16">
      <c r="A84">
        <v>41</v>
      </c>
      <c r="B84" s="5">
        <v>59729</v>
      </c>
      <c r="C84" s="20">
        <v>0.4835606296701902</v>
      </c>
      <c r="D84" s="20">
        <v>0.49634912885889831</v>
      </c>
      <c r="E84" s="20">
        <v>9.2590451040213406E-3</v>
      </c>
      <c r="F84" s="20">
        <v>0.50277777777777777</v>
      </c>
      <c r="G84" s="20">
        <v>0</v>
      </c>
      <c r="H84" s="20"/>
      <c r="I84" s="20"/>
      <c r="J84" s="20">
        <f t="shared" si="22"/>
        <v>0.51233079926863567</v>
      </c>
      <c r="K84" s="20">
        <f t="shared" si="24"/>
        <v>0.4976447770385562</v>
      </c>
      <c r="L84" s="18"/>
      <c r="M84" s="18"/>
      <c r="N84" s="18"/>
      <c r="O84" s="18"/>
      <c r="P84" s="18"/>
    </row>
    <row r="85" spans="1:16">
      <c r="A85">
        <v>41.5</v>
      </c>
      <c r="B85" s="5">
        <v>59915</v>
      </c>
      <c r="C85" s="20">
        <v>0.48039334667767708</v>
      </c>
      <c r="D85" s="20">
        <v>0.49402867581010651</v>
      </c>
      <c r="E85" s="20">
        <v>9.0909691464970098E-3</v>
      </c>
      <c r="F85" s="20">
        <v>0.51666666666666672</v>
      </c>
      <c r="G85" s="20">
        <v>0</v>
      </c>
      <c r="H85" s="20"/>
      <c r="I85" s="20"/>
      <c r="J85" s="20">
        <f t="shared" si="22"/>
        <v>0.51458720716659745</v>
      </c>
      <c r="K85" s="20">
        <f t="shared" si="24"/>
        <v>0.49531826678004276</v>
      </c>
      <c r="L85" s="18"/>
      <c r="M85" s="18"/>
      <c r="N85" s="18"/>
      <c r="O85" s="18"/>
      <c r="P85" s="18"/>
    </row>
    <row r="86" spans="1:16">
      <c r="A86">
        <v>42</v>
      </c>
      <c r="B86" s="5">
        <v>60097</v>
      </c>
      <c r="C86" s="20">
        <v>0.4773444128346101</v>
      </c>
      <c r="D86" s="20">
        <v>0.49180732439275149</v>
      </c>
      <c r="E86" s="20">
        <v>8.9341530849784603E-3</v>
      </c>
      <c r="F86" s="20">
        <v>0.50555555555555554</v>
      </c>
      <c r="G86" s="20">
        <v>0</v>
      </c>
      <c r="H86" s="20"/>
      <c r="I86" s="20"/>
      <c r="J86" s="20">
        <f t="shared" si="22"/>
        <v>0.51674323379618436</v>
      </c>
      <c r="K86" s="20">
        <f t="shared" si="24"/>
        <v>0.49309111684355483</v>
      </c>
      <c r="L86" s="18"/>
      <c r="M86" s="18"/>
      <c r="N86" s="18"/>
      <c r="O86" s="18">
        <v>59364</v>
      </c>
      <c r="P86" s="19">
        <f>L82</f>
        <v>0.50237365289259295</v>
      </c>
    </row>
    <row r="87" spans="1:16">
      <c r="A87">
        <v>42.5</v>
      </c>
      <c r="B87" s="5">
        <v>60279</v>
      </c>
      <c r="C87" s="20">
        <v>0.47434415945888991</v>
      </c>
      <c r="D87" s="20">
        <v>0.4896309584163458</v>
      </c>
      <c r="E87" s="20">
        <v>8.7916116448463408E-3</v>
      </c>
      <c r="F87" s="20">
        <v>0.50555555555555554</v>
      </c>
      <c r="G87" s="20">
        <v>0</v>
      </c>
      <c r="H87" s="20"/>
      <c r="I87" s="20"/>
      <c r="J87" s="20">
        <f t="shared" si="22"/>
        <v>0.51885152666769929</v>
      </c>
      <c r="K87" s="20">
        <f t="shared" si="24"/>
        <v>0.49090919820390078</v>
      </c>
      <c r="L87" s="18"/>
      <c r="M87" s="18"/>
      <c r="N87" s="18"/>
      <c r="O87" s="18">
        <v>66670</v>
      </c>
      <c r="P87" s="19">
        <f>L122</f>
        <v>0.42286130489310603</v>
      </c>
    </row>
    <row r="88" spans="1:16">
      <c r="A88">
        <v>43</v>
      </c>
      <c r="B88" s="5">
        <v>60461</v>
      </c>
      <c r="C88" s="20">
        <v>0.47139160614948861</v>
      </c>
      <c r="D88" s="20">
        <v>0.48749599328334481</v>
      </c>
      <c r="E88" s="20">
        <v>8.6626516188248893E-3</v>
      </c>
      <c r="F88" s="20">
        <v>0.50555555555555554</v>
      </c>
      <c r="G88" s="20">
        <v>0</v>
      </c>
      <c r="H88" s="20"/>
      <c r="I88" s="20"/>
      <c r="J88" s="20">
        <f t="shared" si="22"/>
        <v>0.52091596341586666</v>
      </c>
      <c r="K88" s="20">
        <f t="shared" si="24"/>
        <v>0.48876865949077553</v>
      </c>
      <c r="L88" s="18"/>
      <c r="M88" s="18"/>
      <c r="N88" s="18"/>
      <c r="O88" s="18"/>
      <c r="P88" s="18"/>
    </row>
    <row r="89" spans="1:16">
      <c r="A89">
        <v>43.5</v>
      </c>
      <c r="B89" s="5">
        <v>60644</v>
      </c>
      <c r="C89" s="20">
        <v>0.46846995448104201</v>
      </c>
      <c r="D89" s="20">
        <v>0.48538748473141352</v>
      </c>
      <c r="E89" s="20">
        <v>8.5453174166054604E-3</v>
      </c>
      <c r="F89" s="20">
        <v>0.5083333333333333</v>
      </c>
      <c r="G89" s="20">
        <v>0</v>
      </c>
      <c r="H89" s="20"/>
      <c r="I89" s="20"/>
      <c r="J89" s="20">
        <f t="shared" si="22"/>
        <v>0.5229509358503015</v>
      </c>
      <c r="K89" s="20">
        <f t="shared" si="24"/>
        <v>0.48665469491361385</v>
      </c>
      <c r="L89" s="18"/>
      <c r="M89" s="18"/>
      <c r="N89" s="18"/>
      <c r="O89" s="18">
        <v>63017</v>
      </c>
      <c r="P89" s="18" cm="1">
        <f t="array" ref="P89">interpolate(O86:O87,P86:P87,O89,"Natural Cubic Spline")</f>
        <v>0.46261747889284949</v>
      </c>
    </row>
    <row r="90" spans="1:16">
      <c r="A90">
        <v>44</v>
      </c>
      <c r="B90" s="5">
        <v>60825</v>
      </c>
      <c r="C90" s="20">
        <v>0.46562578064583421</v>
      </c>
      <c r="D90" s="20">
        <v>0.48333624725846241</v>
      </c>
      <c r="E90" s="20">
        <v>8.4409339494139791E-3</v>
      </c>
      <c r="F90" s="20">
        <v>0.50277777777777777</v>
      </c>
      <c r="G90" s="20">
        <v>0</v>
      </c>
      <c r="H90" s="20"/>
      <c r="I90" s="20"/>
      <c r="J90" s="20">
        <f t="shared" si="22"/>
        <v>0.52492701162581046</v>
      </c>
      <c r="K90" s="20">
        <f t="shared" si="24"/>
        <v>0.48459810223663791</v>
      </c>
      <c r="L90" s="18"/>
      <c r="M90" s="18"/>
      <c r="N90" s="18"/>
      <c r="O90" s="18">
        <v>66488</v>
      </c>
      <c r="P90" s="18" cm="1">
        <f t="array" ref="P90">interpolate(O86:O87,P86:P87,O90,"Natural Cubic Spline")</f>
        <v>0.42484203954078009</v>
      </c>
    </row>
    <row r="91" spans="1:16">
      <c r="A91">
        <v>44.5</v>
      </c>
      <c r="B91" s="5">
        <v>61009</v>
      </c>
      <c r="C91" s="20">
        <v>0.46277995896916652</v>
      </c>
      <c r="D91" s="20">
        <v>0.48128244372266532</v>
      </c>
      <c r="E91" s="20">
        <v>8.3491748309134205E-3</v>
      </c>
      <c r="F91" s="20">
        <v>0.51111111111111107</v>
      </c>
      <c r="G91" s="20">
        <v>0</v>
      </c>
      <c r="H91" s="20"/>
      <c r="I91" s="20"/>
      <c r="J91" s="20">
        <f t="shared" si="22"/>
        <v>0.52690185847182291</v>
      </c>
      <c r="K91" s="20">
        <f t="shared" si="24"/>
        <v>0.48253893679754783</v>
      </c>
      <c r="L91" s="18"/>
      <c r="M91" s="18"/>
      <c r="N91" s="18"/>
      <c r="O91" s="18"/>
      <c r="P91" s="18"/>
    </row>
    <row r="92" spans="1:16">
      <c r="A92">
        <v>45</v>
      </c>
      <c r="B92" s="5">
        <v>61190</v>
      </c>
      <c r="C92" s="20">
        <v>0.46002438942535051</v>
      </c>
      <c r="D92" s="20">
        <v>0.47928971420650379</v>
      </c>
      <c r="E92" s="20">
        <v>8.2694032527044995E-3</v>
      </c>
      <c r="F92" s="20">
        <v>0.50277777777777777</v>
      </c>
      <c r="G92" s="20">
        <v>0</v>
      </c>
      <c r="H92" s="20"/>
      <c r="I92" s="20"/>
      <c r="J92" s="20">
        <f t="shared" si="22"/>
        <v>0.5288144890828923</v>
      </c>
      <c r="K92" s="20">
        <f t="shared" si="24"/>
        <v>0.48054100482517836</v>
      </c>
      <c r="L92" s="18"/>
      <c r="M92" s="18"/>
      <c r="N92" s="18"/>
      <c r="O92" s="18"/>
      <c r="P92" s="18"/>
    </row>
    <row r="93" spans="1:16">
      <c r="A93">
        <v>45.5</v>
      </c>
      <c r="B93" s="5">
        <v>61374</v>
      </c>
      <c r="C93" s="20">
        <v>0.45726682763226401</v>
      </c>
      <c r="D93" s="20">
        <v>0.47728865240006779</v>
      </c>
      <c r="E93" s="20">
        <v>8.2028368073458306E-3</v>
      </c>
      <c r="F93" s="20">
        <v>0.51111111111111107</v>
      </c>
      <c r="G93" s="20">
        <v>0</v>
      </c>
      <c r="H93" s="20"/>
      <c r="I93" s="20"/>
      <c r="J93" s="20">
        <f t="shared" si="22"/>
        <v>0.53073160816695997</v>
      </c>
      <c r="K93" s="20">
        <f t="shared" si="24"/>
        <v>0.47853471880926823</v>
      </c>
      <c r="L93" s="18"/>
      <c r="M93" s="18"/>
      <c r="N93" s="18"/>
      <c r="O93" s="18"/>
      <c r="P93" s="18"/>
    </row>
    <row r="94" spans="1:16">
      <c r="A94">
        <v>46</v>
      </c>
      <c r="B94" s="5">
        <v>61556</v>
      </c>
      <c r="C94" s="20">
        <v>0.45458169239949059</v>
      </c>
      <c r="D94" s="20">
        <v>0.47533058089557279</v>
      </c>
      <c r="E94" s="20">
        <v>8.1482417208092097E-3</v>
      </c>
      <c r="F94" s="20">
        <v>0.50555555555555554</v>
      </c>
      <c r="G94" s="20">
        <v>0</v>
      </c>
      <c r="H94" s="20"/>
      <c r="I94" s="20"/>
      <c r="J94" s="20">
        <f t="shared" si="22"/>
        <v>0.53260420693112009</v>
      </c>
      <c r="K94" s="20">
        <f t="shared" si="24"/>
        <v>0.4765715353308842</v>
      </c>
      <c r="L94" s="18"/>
      <c r="M94" s="18"/>
      <c r="N94" s="18"/>
      <c r="O94" s="18"/>
      <c r="P94" s="18"/>
    </row>
    <row r="95" spans="1:16">
      <c r="A95">
        <v>46.5</v>
      </c>
      <c r="B95" s="5">
        <v>61742</v>
      </c>
      <c r="C95" s="20">
        <v>0.45188028198482799</v>
      </c>
      <c r="D95" s="20">
        <v>0.47334797928999178</v>
      </c>
      <c r="E95" s="20">
        <v>8.1067071119907304E-3</v>
      </c>
      <c r="F95" s="20">
        <v>0.51666666666666672</v>
      </c>
      <c r="G95" s="20">
        <v>0</v>
      </c>
      <c r="H95" s="20"/>
      <c r="I95" s="20"/>
      <c r="J95" s="20">
        <f t="shared" si="22"/>
        <v>0.53449689183058302</v>
      </c>
      <c r="K95" s="20">
        <f t="shared" si="24"/>
        <v>0.47458375771022077</v>
      </c>
      <c r="L95" s="18"/>
      <c r="M95" s="18"/>
      <c r="N95" s="18"/>
      <c r="O95" s="18"/>
      <c r="P95" s="18"/>
    </row>
    <row r="96" spans="1:16">
      <c r="A96">
        <v>47</v>
      </c>
      <c r="B96" s="5">
        <v>61921</v>
      </c>
      <c r="C96" s="20">
        <v>0.44932051302385029</v>
      </c>
      <c r="D96" s="20">
        <v>0.47145456425612797</v>
      </c>
      <c r="E96" s="20">
        <v>8.0772026974377208E-3</v>
      </c>
      <c r="F96" s="20">
        <v>0.49722222222222218</v>
      </c>
      <c r="G96" s="20">
        <v>0</v>
      </c>
      <c r="H96" s="20"/>
      <c r="I96" s="20"/>
      <c r="J96" s="20">
        <f t="shared" si="22"/>
        <v>0.53630143700254429</v>
      </c>
      <c r="K96" s="20">
        <f t="shared" si="24"/>
        <v>0.47268537540334504</v>
      </c>
      <c r="L96" s="18"/>
      <c r="M96" s="18"/>
      <c r="N96" s="18"/>
      <c r="O96" s="18"/>
      <c r="P96" s="18"/>
    </row>
    <row r="97" spans="1:16">
      <c r="A97">
        <v>47.5</v>
      </c>
      <c r="B97" s="5">
        <v>62106</v>
      </c>
      <c r="C97" s="20">
        <v>0.44671531179977891</v>
      </c>
      <c r="D97" s="20">
        <v>0.46950955127735849</v>
      </c>
      <c r="E97" s="20">
        <v>8.0613698071773897E-3</v>
      </c>
      <c r="F97" s="20">
        <v>0.51388888888888884</v>
      </c>
      <c r="G97" s="20">
        <v>0</v>
      </c>
      <c r="H97" s="20"/>
      <c r="I97" s="20"/>
      <c r="J97" s="20">
        <f t="shared" si="22"/>
        <v>0.53815202146222518</v>
      </c>
      <c r="K97" s="20">
        <f t="shared" si="24"/>
        <v>0.47073528464224562</v>
      </c>
      <c r="L97" s="18"/>
      <c r="M97" s="18"/>
      <c r="N97" s="18"/>
      <c r="O97" s="18"/>
      <c r="P97" s="18"/>
    </row>
    <row r="98" spans="1:16">
      <c r="A98">
        <v>48</v>
      </c>
      <c r="B98" s="5">
        <v>62288</v>
      </c>
      <c r="C98" s="20">
        <v>0.44419159681857179</v>
      </c>
      <c r="D98" s="20">
        <v>0.46760479806134042</v>
      </c>
      <c r="E98" s="20">
        <v>8.0573247742801099E-3</v>
      </c>
      <c r="F98" s="20">
        <v>0.50555555555555554</v>
      </c>
      <c r="G98" s="20">
        <v>0</v>
      </c>
      <c r="H98" s="20"/>
      <c r="I98" s="20"/>
      <c r="J98" s="20">
        <f t="shared" si="22"/>
        <v>0.5399614027518872</v>
      </c>
      <c r="K98" s="20">
        <f t="shared" si="24"/>
        <v>0.46882555874875503</v>
      </c>
      <c r="L98" s="18"/>
      <c r="M98" s="18"/>
      <c r="N98" s="18"/>
      <c r="O98" s="18"/>
      <c r="P98" s="18"/>
    </row>
    <row r="99" spans="1:16">
      <c r="A99">
        <v>48.5</v>
      </c>
      <c r="B99" s="5">
        <v>62470</v>
      </c>
      <c r="C99" s="20">
        <v>0.44170601590680081</v>
      </c>
      <c r="D99" s="20">
        <v>0.46570569634089187</v>
      </c>
      <c r="E99" s="20">
        <v>8.0664530618313798E-3</v>
      </c>
      <c r="F99" s="20">
        <v>0.50555555555555554</v>
      </c>
      <c r="G99" s="20">
        <v>0</v>
      </c>
      <c r="H99" s="20"/>
      <c r="I99" s="20"/>
      <c r="J99" s="20">
        <f t="shared" si="22"/>
        <v>0.54176269762324336</v>
      </c>
      <c r="K99" s="20">
        <f t="shared" si="24"/>
        <v>0.46692143438820477</v>
      </c>
      <c r="L99" s="18"/>
      <c r="M99" s="18"/>
      <c r="N99" s="18"/>
      <c r="O99" s="18"/>
      <c r="P99" s="18"/>
    </row>
    <row r="100" spans="1:16">
      <c r="A100">
        <v>49</v>
      </c>
      <c r="B100" s="5">
        <v>62652</v>
      </c>
      <c r="C100" s="20">
        <v>0.4392578039092318</v>
      </c>
      <c r="D100" s="20">
        <v>0.46380931440043982</v>
      </c>
      <c r="E100" s="20">
        <v>8.0875589180164006E-3</v>
      </c>
      <c r="F100" s="20">
        <v>0.50555555555555554</v>
      </c>
      <c r="G100" s="20">
        <v>0</v>
      </c>
      <c r="H100" s="20"/>
      <c r="I100" s="20"/>
      <c r="J100" s="20">
        <f t="shared" ref="J100:J122" si="25">J99+(E100*F100*C100)</f>
        <v>0.54355869554884118</v>
      </c>
      <c r="K100" s="20">
        <f t="shared" si="24"/>
        <v>0.46502010188842863</v>
      </c>
      <c r="L100" s="18"/>
      <c r="M100" s="18"/>
      <c r="N100" s="18"/>
      <c r="O100" s="18"/>
      <c r="P100" s="18"/>
    </row>
    <row r="101" spans="1:16">
      <c r="A101">
        <v>49.5</v>
      </c>
      <c r="B101" s="5">
        <v>62835</v>
      </c>
      <c r="C101" s="20">
        <v>0.43683305994826649</v>
      </c>
      <c r="D101" s="20">
        <v>0.46190234191945129</v>
      </c>
      <c r="E101" s="20">
        <v>8.1218840242567106E-3</v>
      </c>
      <c r="F101" s="20">
        <v>0.5083333333333333</v>
      </c>
      <c r="G101" s="20">
        <v>0</v>
      </c>
      <c r="H101" s="20"/>
      <c r="I101" s="20"/>
      <c r="J101" s="20">
        <f t="shared" si="25"/>
        <v>0.54536221516969552</v>
      </c>
      <c r="K101" s="20">
        <f>(K102*(G102/100*I102-J101+C102))/C102</f>
        <v>0.46310810248639223</v>
      </c>
      <c r="L101" s="18"/>
      <c r="M101" s="18"/>
      <c r="N101" s="18"/>
      <c r="O101" s="18"/>
      <c r="P101" s="18"/>
    </row>
    <row r="102" spans="1:16">
      <c r="A102">
        <v>50</v>
      </c>
      <c r="B102" s="5">
        <v>63017</v>
      </c>
      <c r="C102" s="20">
        <v>0.43445754508781198</v>
      </c>
      <c r="D102" s="20">
        <v>0.46000277084258262</v>
      </c>
      <c r="E102" s="20">
        <v>8.1681971871145394E-3</v>
      </c>
      <c r="F102" s="20">
        <v>0.50555555555555554</v>
      </c>
      <c r="G102" s="20">
        <v>1.7023991173626976</v>
      </c>
      <c r="H102" s="20">
        <v>0.99722222222222223</v>
      </c>
      <c r="I102" s="20">
        <v>32.129337357042132</v>
      </c>
      <c r="J102" s="20">
        <f t="shared" si="25"/>
        <v>0.54715629781242514</v>
      </c>
      <c r="K102" s="20">
        <f t="shared" ref="K102:K120" si="26">K103*(1+E103*F103)</f>
        <v>0.46140108045234279</v>
      </c>
      <c r="L102" s="18"/>
      <c r="M102" s="18">
        <f>P89</f>
        <v>0.46261747889284949</v>
      </c>
      <c r="N102" s="18"/>
      <c r="O102" s="18"/>
      <c r="P102" s="18"/>
    </row>
    <row r="103" spans="1:16">
      <c r="A103">
        <v>50.5</v>
      </c>
      <c r="B103" s="5">
        <v>63201</v>
      </c>
      <c r="C103" s="20">
        <v>0.43209151992901568</v>
      </c>
      <c r="D103" s="20">
        <v>0.45807702898065161</v>
      </c>
      <c r="E103" s="20">
        <v>8.2251577321086899E-3</v>
      </c>
      <c r="F103" s="20">
        <v>0.51111111111111107</v>
      </c>
      <c r="G103" s="20">
        <v>0</v>
      </c>
      <c r="H103" s="20"/>
      <c r="I103" s="20"/>
      <c r="J103" s="20">
        <f t="shared" si="25"/>
        <v>0.5489727973866656</v>
      </c>
      <c r="K103" s="20">
        <f t="shared" si="26"/>
        <v>0.45946948474882182</v>
      </c>
      <c r="L103" s="18"/>
      <c r="M103" s="18"/>
      <c r="N103" s="18"/>
      <c r="O103" s="18"/>
      <c r="P103" s="18"/>
    </row>
    <row r="104" spans="1:16">
      <c r="A104">
        <v>51</v>
      </c>
      <c r="B104" s="5">
        <v>63382</v>
      </c>
      <c r="C104" s="20">
        <v>0.42979759775090948</v>
      </c>
      <c r="D104" s="20">
        <v>0.45617770642395977</v>
      </c>
      <c r="E104" s="20">
        <v>8.2811107833842199E-3</v>
      </c>
      <c r="F104" s="20">
        <v>0.50277777777777777</v>
      </c>
      <c r="G104" s="20">
        <v>0</v>
      </c>
      <c r="H104" s="20"/>
      <c r="I104" s="20"/>
      <c r="J104" s="20">
        <f t="shared" si="25"/>
        <v>0.55076228481826228</v>
      </c>
      <c r="K104" s="20">
        <f t="shared" si="26"/>
        <v>0.45756438865955279</v>
      </c>
      <c r="L104" s="18"/>
      <c r="M104" s="18"/>
      <c r="N104" s="18"/>
      <c r="O104" s="18"/>
      <c r="P104" s="18"/>
    </row>
    <row r="105" spans="1:16">
      <c r="A105">
        <v>51.5</v>
      </c>
      <c r="B105" s="5">
        <v>63566</v>
      </c>
      <c r="C105" s="20">
        <v>0.42749820729406318</v>
      </c>
      <c r="D105" s="20">
        <v>0.45424265881200709</v>
      </c>
      <c r="E105" s="20">
        <v>8.3346701275028908E-3</v>
      </c>
      <c r="F105" s="20">
        <v>0.51111111111111107</v>
      </c>
      <c r="G105" s="20">
        <v>0</v>
      </c>
      <c r="H105" s="20"/>
      <c r="I105" s="20"/>
      <c r="J105" s="20">
        <f t="shared" si="25"/>
        <v>0.55258340260429739</v>
      </c>
      <c r="K105" s="20">
        <f t="shared" si="26"/>
        <v>0.45562345891852901</v>
      </c>
      <c r="L105" s="18"/>
      <c r="M105" s="18"/>
      <c r="N105" s="18"/>
      <c r="O105" s="18"/>
      <c r="P105" s="18"/>
    </row>
    <row r="106" spans="1:16">
      <c r="A106">
        <v>52</v>
      </c>
      <c r="B106" s="5">
        <v>63747</v>
      </c>
      <c r="C106" s="20">
        <v>0.42526686220753063</v>
      </c>
      <c r="D106" s="20">
        <v>0.45233577293794869</v>
      </c>
      <c r="E106" s="20">
        <v>8.3847031627381999E-3</v>
      </c>
      <c r="F106" s="20">
        <v>0.50277777777777777</v>
      </c>
      <c r="G106" s="20">
        <v>0</v>
      </c>
      <c r="H106" s="20"/>
      <c r="I106" s="20"/>
      <c r="J106" s="20">
        <f t="shared" si="25"/>
        <v>0.55437617562992303</v>
      </c>
      <c r="K106" s="20">
        <f t="shared" si="26"/>
        <v>0.45371077652103337</v>
      </c>
      <c r="L106" s="18"/>
      <c r="M106" s="18"/>
      <c r="N106" s="18"/>
      <c r="O106" s="18"/>
      <c r="P106" s="18"/>
    </row>
    <row r="107" spans="1:16">
      <c r="A107">
        <v>52.5</v>
      </c>
      <c r="B107" s="5">
        <v>63933</v>
      </c>
      <c r="C107" s="20">
        <v>0.42300395048401113</v>
      </c>
      <c r="D107" s="20">
        <v>0.45037351900654238</v>
      </c>
      <c r="E107" s="20">
        <v>8.4328022734497608E-3</v>
      </c>
      <c r="F107" s="20">
        <v>0.51666666666666672</v>
      </c>
      <c r="G107" s="20">
        <v>0</v>
      </c>
      <c r="H107" s="20"/>
      <c r="I107" s="20"/>
      <c r="J107" s="20">
        <f t="shared" si="25"/>
        <v>0.55621918177883822</v>
      </c>
      <c r="K107" s="20">
        <f t="shared" si="26"/>
        <v>0.45174255775918909</v>
      </c>
      <c r="L107" s="18"/>
      <c r="M107" s="18"/>
      <c r="N107" s="18"/>
      <c r="O107" s="18"/>
      <c r="P107" s="18"/>
    </row>
    <row r="108" spans="1:16">
      <c r="A108">
        <v>53</v>
      </c>
      <c r="B108" s="5">
        <v>64112</v>
      </c>
      <c r="C108" s="20">
        <v>0.42085359185350152</v>
      </c>
      <c r="D108" s="20">
        <v>0.44848329287351291</v>
      </c>
      <c r="E108" s="20">
        <v>8.4771553101963201E-3</v>
      </c>
      <c r="F108" s="20">
        <v>0.49722222222222218</v>
      </c>
      <c r="G108" s="20">
        <v>0</v>
      </c>
      <c r="H108" s="20"/>
      <c r="I108" s="20"/>
      <c r="J108" s="20">
        <f t="shared" si="25"/>
        <v>0.55799309229472238</v>
      </c>
      <c r="K108" s="20">
        <f t="shared" si="26"/>
        <v>0.44984644151216585</v>
      </c>
      <c r="L108" s="18"/>
      <c r="M108" s="18"/>
      <c r="N108" s="18"/>
      <c r="O108" s="18"/>
      <c r="P108" s="18"/>
    </row>
    <row r="109" spans="1:16">
      <c r="A109">
        <v>53.5</v>
      </c>
      <c r="B109" s="5">
        <v>64297</v>
      </c>
      <c r="C109" s="20">
        <v>0.41865796586185228</v>
      </c>
      <c r="D109" s="20">
        <v>0.44652860355843721</v>
      </c>
      <c r="E109" s="20">
        <v>8.5184234961502292E-3</v>
      </c>
      <c r="F109" s="20">
        <v>0.51388888888888884</v>
      </c>
      <c r="G109" s="20">
        <v>0</v>
      </c>
      <c r="H109" s="20"/>
      <c r="I109" s="20"/>
      <c r="J109" s="20">
        <f t="shared" si="25"/>
        <v>0.55982577724708593</v>
      </c>
      <c r="K109" s="20">
        <f t="shared" si="26"/>
        <v>0.44788581099009056</v>
      </c>
      <c r="L109" s="18"/>
      <c r="M109" s="18"/>
      <c r="N109" s="18"/>
      <c r="O109" s="18"/>
      <c r="P109" s="18"/>
    </row>
    <row r="110" spans="1:16">
      <c r="A110">
        <v>54</v>
      </c>
      <c r="B110" s="5">
        <v>64479</v>
      </c>
      <c r="C110" s="20">
        <v>0.41652316909722831</v>
      </c>
      <c r="D110" s="20">
        <v>0.44460526621556679</v>
      </c>
      <c r="E110" s="20">
        <v>8.5568116809111999E-3</v>
      </c>
      <c r="F110" s="20">
        <v>0.50555555555555554</v>
      </c>
      <c r="G110" s="20">
        <v>0</v>
      </c>
      <c r="H110" s="20"/>
      <c r="I110" s="20"/>
      <c r="J110" s="20">
        <f t="shared" si="25"/>
        <v>0.56162763301931828</v>
      </c>
      <c r="K110" s="20">
        <f t="shared" si="26"/>
        <v>0.4459566277333985</v>
      </c>
      <c r="L110" s="18"/>
      <c r="M110" s="18"/>
      <c r="N110" s="18"/>
      <c r="O110" s="18"/>
      <c r="P110" s="18"/>
    </row>
    <row r="111" spans="1:16">
      <c r="A111">
        <v>54.5</v>
      </c>
      <c r="B111" s="5">
        <v>64662</v>
      </c>
      <c r="C111" s="20">
        <v>0.41440051403291073</v>
      </c>
      <c r="D111" s="20">
        <v>0.44267175799546321</v>
      </c>
      <c r="E111" s="20">
        <v>8.5926166609796902E-3</v>
      </c>
      <c r="F111" s="20">
        <v>0.5083333333333333</v>
      </c>
      <c r="G111" s="20">
        <v>0</v>
      </c>
      <c r="H111" s="20"/>
      <c r="I111" s="20"/>
      <c r="J111" s="20">
        <f t="shared" si="25"/>
        <v>0.56343769860626047</v>
      </c>
      <c r="K111" s="20">
        <f t="shared" si="26"/>
        <v>0.44401719902914433</v>
      </c>
      <c r="L111" s="18"/>
      <c r="M111" s="18"/>
      <c r="N111" s="18"/>
      <c r="O111" s="18"/>
      <c r="P111" s="18"/>
    </row>
    <row r="112" spans="1:16">
      <c r="A112">
        <v>55</v>
      </c>
      <c r="B112" s="5">
        <v>64843</v>
      </c>
      <c r="C112" s="20">
        <v>0.41232330304732701</v>
      </c>
      <c r="D112" s="20">
        <v>0.4407604879776853</v>
      </c>
      <c r="E112" s="20">
        <v>8.6246864987292293E-3</v>
      </c>
      <c r="F112" s="20">
        <v>0.50277777777777777</v>
      </c>
      <c r="G112" s="20">
        <v>0</v>
      </c>
      <c r="H112" s="20"/>
      <c r="I112" s="20"/>
      <c r="J112" s="20">
        <f t="shared" si="25"/>
        <v>0.56522565643878153</v>
      </c>
      <c r="K112" s="20">
        <f t="shared" si="26"/>
        <v>0.44210011996422954</v>
      </c>
      <c r="L112" s="18"/>
      <c r="M112" s="18"/>
      <c r="N112" s="18"/>
      <c r="O112" s="18"/>
      <c r="P112" s="18"/>
    </row>
    <row r="113" spans="1:16">
      <c r="A113">
        <v>55.5</v>
      </c>
      <c r="B113" s="5">
        <v>65027</v>
      </c>
      <c r="C113" s="20">
        <v>0.41023303462068861</v>
      </c>
      <c r="D113" s="20">
        <v>0.43881938792169117</v>
      </c>
      <c r="E113" s="20">
        <v>8.6545958585986602E-3</v>
      </c>
      <c r="F113" s="20">
        <v>0.51111111111111107</v>
      </c>
      <c r="G113" s="20">
        <v>0</v>
      </c>
      <c r="H113" s="20"/>
      <c r="I113" s="20"/>
      <c r="J113" s="20">
        <f t="shared" si="25"/>
        <v>0.56704030590138677</v>
      </c>
      <c r="K113" s="20">
        <f t="shared" si="26"/>
        <v>0.44015312019672537</v>
      </c>
      <c r="L113" s="18"/>
      <c r="M113" s="18"/>
      <c r="N113" s="18"/>
      <c r="O113" s="18"/>
      <c r="P113" s="18"/>
    </row>
    <row r="114" spans="1:16">
      <c r="A114">
        <v>56</v>
      </c>
      <c r="B114" s="5">
        <v>65208</v>
      </c>
      <c r="C114" s="20">
        <v>0.40819661459807471</v>
      </c>
      <c r="D114" s="20">
        <v>0.43691244865275902</v>
      </c>
      <c r="E114" s="20">
        <v>8.6809322952843097E-3</v>
      </c>
      <c r="F114" s="20">
        <v>0.50277777777777777</v>
      </c>
      <c r="G114" s="20">
        <v>0</v>
      </c>
      <c r="H114" s="20"/>
      <c r="I114" s="20"/>
      <c r="J114" s="20">
        <f t="shared" si="25"/>
        <v>0.56882191261967208</v>
      </c>
      <c r="K114" s="20">
        <f t="shared" si="26"/>
        <v>0.43824038504338264</v>
      </c>
      <c r="L114" s="18"/>
      <c r="M114" s="18"/>
      <c r="N114" s="18"/>
      <c r="O114" s="18"/>
      <c r="P114" s="18"/>
    </row>
    <row r="115" spans="1:16">
      <c r="A115">
        <v>56.5</v>
      </c>
      <c r="B115" s="5">
        <v>65392</v>
      </c>
      <c r="C115" s="20">
        <v>0.40614527843017612</v>
      </c>
      <c r="D115" s="20">
        <v>0.43497715428004807</v>
      </c>
      <c r="E115" s="20">
        <v>8.7049296142755594E-3</v>
      </c>
      <c r="F115" s="20">
        <v>0.51111111111111107</v>
      </c>
      <c r="G115" s="20">
        <v>0</v>
      </c>
      <c r="H115" s="20"/>
      <c r="I115" s="20"/>
      <c r="J115" s="20">
        <f t="shared" si="25"/>
        <v>0.57062892860686798</v>
      </c>
      <c r="K115" s="20">
        <f t="shared" si="26"/>
        <v>0.43629920860475208</v>
      </c>
      <c r="L115" s="18"/>
      <c r="M115" s="18"/>
      <c r="N115" s="18"/>
      <c r="O115" s="18"/>
      <c r="P115" s="18"/>
    </row>
    <row r="116" spans="1:16">
      <c r="A116">
        <v>57</v>
      </c>
      <c r="B116" s="5">
        <v>65573</v>
      </c>
      <c r="C116" s="20">
        <v>0.40414470883480152</v>
      </c>
      <c r="D116" s="20">
        <v>0.43307728307130727</v>
      </c>
      <c r="E116" s="20">
        <v>8.7253465216486307E-3</v>
      </c>
      <c r="F116" s="20">
        <v>0.50277777777777777</v>
      </c>
      <c r="G116" s="20">
        <v>0</v>
      </c>
      <c r="H116" s="20"/>
      <c r="I116" s="20"/>
      <c r="J116" s="20">
        <f t="shared" si="25"/>
        <v>0.57240187520668706</v>
      </c>
      <c r="K116" s="20">
        <f t="shared" si="26"/>
        <v>0.43439356299401527</v>
      </c>
      <c r="L116" s="18"/>
      <c r="M116" s="18"/>
      <c r="N116" s="18"/>
      <c r="O116" s="18"/>
      <c r="P116" s="18"/>
    </row>
    <row r="117" spans="1:16">
      <c r="A117">
        <v>57.5</v>
      </c>
      <c r="B117" s="5">
        <v>65757</v>
      </c>
      <c r="C117" s="20">
        <v>0.40212737607779281</v>
      </c>
      <c r="D117" s="20">
        <v>0.43115052977559809</v>
      </c>
      <c r="E117" s="20">
        <v>8.7434305391164303E-3</v>
      </c>
      <c r="F117" s="20">
        <v>0.51111111111111107</v>
      </c>
      <c r="G117" s="20">
        <v>0</v>
      </c>
      <c r="H117" s="20"/>
      <c r="I117" s="20"/>
      <c r="J117" s="20">
        <f t="shared" si="25"/>
        <v>0.57419892796122274</v>
      </c>
      <c r="K117" s="20">
        <f t="shared" si="26"/>
        <v>0.43246095359183667</v>
      </c>
      <c r="L117" s="18"/>
      <c r="M117" s="18"/>
      <c r="N117" s="18"/>
      <c r="O117" s="18"/>
      <c r="P117" s="18"/>
    </row>
    <row r="118" spans="1:16">
      <c r="A118">
        <v>58</v>
      </c>
      <c r="B118" s="5">
        <v>65939</v>
      </c>
      <c r="C118" s="20">
        <v>0.40014705654540328</v>
      </c>
      <c r="D118" s="20">
        <v>0.42924994370055652</v>
      </c>
      <c r="E118" s="20">
        <v>8.7580699374005203E-3</v>
      </c>
      <c r="F118" s="20">
        <v>0.50555555555555554</v>
      </c>
      <c r="G118" s="20">
        <v>0</v>
      </c>
      <c r="H118" s="20"/>
      <c r="I118" s="20"/>
      <c r="J118" s="20">
        <f t="shared" si="25"/>
        <v>0.57597065544727122</v>
      </c>
      <c r="K118" s="20">
        <f t="shared" si="26"/>
        <v>0.4305545909420595</v>
      </c>
      <c r="L118" s="18"/>
      <c r="M118" s="18"/>
      <c r="N118" s="18"/>
      <c r="O118" s="18"/>
      <c r="P118" s="18"/>
    </row>
    <row r="119" spans="1:16">
      <c r="A119">
        <v>58.5</v>
      </c>
      <c r="B119" s="5">
        <v>66124</v>
      </c>
      <c r="C119" s="20">
        <v>0.39814828570278787</v>
      </c>
      <c r="D119" s="20">
        <v>0.42732401412408821</v>
      </c>
      <c r="E119" s="20">
        <v>8.77028841729857E-3</v>
      </c>
      <c r="F119" s="20">
        <v>0.51388888888888884</v>
      </c>
      <c r="G119" s="20">
        <v>0</v>
      </c>
      <c r="H119" s="20"/>
      <c r="I119" s="20"/>
      <c r="J119" s="20">
        <f t="shared" si="25"/>
        <v>0.57776509136453869</v>
      </c>
      <c r="K119" s="20">
        <f t="shared" si="26"/>
        <v>0.42862280776270512</v>
      </c>
      <c r="L119" s="18"/>
      <c r="M119" s="18"/>
      <c r="N119" s="18"/>
      <c r="O119" s="18"/>
      <c r="P119" s="18"/>
    </row>
    <row r="120" spans="1:16">
      <c r="A120">
        <v>59</v>
      </c>
      <c r="B120" s="5">
        <v>66306</v>
      </c>
      <c r="C120" s="20">
        <v>0.39619474870736199</v>
      </c>
      <c r="D120" s="20">
        <v>0.42543583897085763</v>
      </c>
      <c r="E120" s="20">
        <v>8.7788841684794394E-3</v>
      </c>
      <c r="F120" s="20">
        <v>0.50555555555555554</v>
      </c>
      <c r="G120" s="20">
        <v>0</v>
      </c>
      <c r="H120" s="20"/>
      <c r="I120" s="20"/>
      <c r="J120" s="20">
        <f t="shared" si="25"/>
        <v>0.57952348831144218</v>
      </c>
      <c r="K120" s="20">
        <f t="shared" si="26"/>
        <v>0.42672889375605993</v>
      </c>
      <c r="L120" s="18"/>
      <c r="M120" s="18"/>
      <c r="N120" s="18"/>
      <c r="O120" s="18"/>
      <c r="P120" s="18"/>
    </row>
    <row r="121" spans="1:16">
      <c r="A121">
        <v>59.5</v>
      </c>
      <c r="B121" s="5">
        <v>66488</v>
      </c>
      <c r="C121" s="20">
        <v>0.39425281878583501</v>
      </c>
      <c r="D121" s="20">
        <v>0.4235547524322909</v>
      </c>
      <c r="E121" s="20">
        <v>8.7850042128156895E-3</v>
      </c>
      <c r="F121" s="20">
        <v>0.50555555555555554</v>
      </c>
      <c r="G121" s="20">
        <v>0</v>
      </c>
      <c r="H121" s="20"/>
      <c r="I121" s="20"/>
      <c r="J121" s="20">
        <f t="shared" si="25"/>
        <v>0.58127448638549373</v>
      </c>
      <c r="K121" s="20">
        <f>(K122*(G122/100*I122-J121+C122))/C122</f>
        <v>0.42484203954078004</v>
      </c>
      <c r="L121" s="18"/>
      <c r="M121" s="18"/>
      <c r="N121" s="18"/>
      <c r="O121" s="18"/>
      <c r="P121" s="18"/>
    </row>
    <row r="122" spans="1:16">
      <c r="A122">
        <v>60</v>
      </c>
      <c r="B122" s="5">
        <v>66670</v>
      </c>
      <c r="C122" s="20">
        <v>0.39232141315840419</v>
      </c>
      <c r="D122" s="20">
        <v>0.42168135874896218</v>
      </c>
      <c r="E122" s="20">
        <v>8.7877109154303693E-3</v>
      </c>
      <c r="F122" s="20">
        <v>0.50555555555555554</v>
      </c>
      <c r="G122" s="20">
        <v>1.6091965920009033</v>
      </c>
      <c r="H122" s="20">
        <v>0.99722222222222223</v>
      </c>
      <c r="I122" s="20">
        <v>36.236229389371289</v>
      </c>
      <c r="J122" s="20">
        <f t="shared" si="25"/>
        <v>0.58301744334101591</v>
      </c>
      <c r="K122" s="21">
        <f>(C122*P90)/(G122/100*I122-J121+C122)</f>
        <v>0.42286130489310603</v>
      </c>
      <c r="L122" s="19">
        <v>0.42286130489310603</v>
      </c>
      <c r="M122" s="18">
        <f>K122</f>
        <v>0.42286130489310603</v>
      </c>
      <c r="N122" s="18"/>
      <c r="O122" s="18"/>
      <c r="P122" s="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CDB7-0E86-4E4A-BCCA-A0D90BC39A03}">
  <sheetPr codeName="Sheet7"/>
  <dimension ref="A1:R122"/>
  <sheetViews>
    <sheetView topLeftCell="B1" zoomScaleNormal="100" workbookViewId="0">
      <pane ySplit="1" topLeftCell="A96" activePane="bottomLeft" state="frozen"/>
      <selection pane="bottomLeft" activeCell="O107" sqref="O107"/>
    </sheetView>
  </sheetViews>
  <sheetFormatPr defaultRowHeight="14.4"/>
  <cols>
    <col min="2" max="3" width="10.77734375" bestFit="1" customWidth="1"/>
    <col min="14" max="14" width="10.5546875" bestFit="1" customWidth="1"/>
    <col min="17" max="17" width="10.5546875" bestFit="1" customWidth="1"/>
    <col min="18" max="18" width="12.6640625" bestFit="1" customWidth="1"/>
  </cols>
  <sheetData>
    <row r="1" spans="1:14">
      <c r="B1" s="1" t="s">
        <v>0</v>
      </c>
      <c r="C1" s="1" t="s">
        <v>1</v>
      </c>
      <c r="D1" s="1" t="s">
        <v>2</v>
      </c>
      <c r="E1" s="1" t="s">
        <v>3</v>
      </c>
      <c r="F1" s="1" t="s">
        <v>23</v>
      </c>
      <c r="G1" s="1" t="s">
        <v>4</v>
      </c>
      <c r="H1" s="1" t="s">
        <v>22</v>
      </c>
      <c r="I1" s="2" t="s">
        <v>5</v>
      </c>
      <c r="J1" s="2" t="s">
        <v>6</v>
      </c>
      <c r="K1" s="2" t="s">
        <v>7</v>
      </c>
      <c r="L1" s="12" t="s">
        <v>19</v>
      </c>
      <c r="N1" s="23" t="s">
        <v>20</v>
      </c>
    </row>
    <row r="2" spans="1:14">
      <c r="B2">
        <v>0</v>
      </c>
      <c r="C2" s="5">
        <v>44754</v>
      </c>
      <c r="E2">
        <v>1</v>
      </c>
      <c r="F2">
        <v>0</v>
      </c>
      <c r="G2">
        <v>0</v>
      </c>
      <c r="H2">
        <v>0</v>
      </c>
      <c r="L2">
        <f>L3*(1+H3/100*G3)</f>
        <v>0.99999999986409149</v>
      </c>
    </row>
    <row r="3" spans="1:14">
      <c r="A3" s="13">
        <v>0</v>
      </c>
      <c r="B3">
        <v>0.5</v>
      </c>
      <c r="C3" s="5">
        <v>44938</v>
      </c>
      <c r="D3" s="18">
        <v>0.99904288423151055</v>
      </c>
      <c r="E3" s="18">
        <v>0.99801063213993446</v>
      </c>
      <c r="F3" s="18">
        <v>3.89999999999991E-3</v>
      </c>
      <c r="G3" s="18">
        <v>0.51111111111111107</v>
      </c>
      <c r="H3" s="18">
        <v>0.38999924817881321</v>
      </c>
      <c r="I3" s="18"/>
      <c r="J3" s="18"/>
      <c r="K3" s="18">
        <f>F3*G3*D3</f>
        <v>1.9914254825680981E-3</v>
      </c>
      <c r="L3" s="18">
        <f>L4*(1+H4/100*G4)</f>
        <v>0.99801063583166416</v>
      </c>
      <c r="M3" s="18"/>
      <c r="N3" s="18">
        <f t="shared" ref="N3:N5" si="0">L3</f>
        <v>0.99801063583166416</v>
      </c>
    </row>
    <row r="4" spans="1:14">
      <c r="A4" s="13">
        <v>1</v>
      </c>
      <c r="B4">
        <v>1</v>
      </c>
      <c r="C4" s="5">
        <v>45119</v>
      </c>
      <c r="D4" s="18">
        <v>0.99324592130854139</v>
      </c>
      <c r="E4" s="18">
        <v>0.99104474380986662</v>
      </c>
      <c r="F4" s="18">
        <v>1.3979999999904E-2</v>
      </c>
      <c r="G4" s="18">
        <v>0.50277777777777777</v>
      </c>
      <c r="H4" s="18">
        <v>1.3979905445245515</v>
      </c>
      <c r="I4" s="18">
        <v>1</v>
      </c>
      <c r="J4" s="18">
        <v>0.99324592130854139</v>
      </c>
      <c r="K4" s="18">
        <f t="shared" ref="K4:K35" si="1">K3+(F4*G4*D4)</f>
        <v>8.9727855224110108E-3</v>
      </c>
      <c r="L4" s="18">
        <f>L5*(1+H5/100*G5)</f>
        <v>0.99104479426123293</v>
      </c>
      <c r="M4" s="18"/>
      <c r="N4" s="18">
        <f t="shared" si="0"/>
        <v>0.99104479426123293</v>
      </c>
    </row>
    <row r="5" spans="1:14">
      <c r="A5" s="13">
        <v>2</v>
      </c>
      <c r="B5">
        <v>1.5</v>
      </c>
      <c r="C5" s="5">
        <v>45303</v>
      </c>
      <c r="D5" s="18">
        <v>0.9860284425870447</v>
      </c>
      <c r="E5" s="18">
        <v>0.98259746260138792</v>
      </c>
      <c r="F5" s="18">
        <v>1.6819999999980999E-2</v>
      </c>
      <c r="G5" s="18">
        <v>0.51111111111111107</v>
      </c>
      <c r="H5" s="18">
        <v>1.6819861073674183</v>
      </c>
      <c r="I5" s="18"/>
      <c r="J5" s="18"/>
      <c r="K5" s="18">
        <f t="shared" si="1"/>
        <v>1.7449562484606416E-2</v>
      </c>
      <c r="L5" s="18">
        <f>(L6*(H6/100*J6-K5+D6)/D6)</f>
        <v>0.98259758179911405</v>
      </c>
      <c r="M5" s="18"/>
      <c r="N5" s="18">
        <f t="shared" si="0"/>
        <v>0.98259758179911405</v>
      </c>
    </row>
    <row r="6" spans="1:14">
      <c r="A6" s="13">
        <v>3</v>
      </c>
      <c r="B6">
        <v>2</v>
      </c>
      <c r="C6" s="5">
        <v>45485</v>
      </c>
      <c r="D6" s="18">
        <v>0.97878176388692029</v>
      </c>
      <c r="E6" s="18">
        <v>0.97444692296927427</v>
      </c>
      <c r="F6" s="18">
        <v>1.6544714899334002E-2</v>
      </c>
      <c r="G6" s="18">
        <v>0.50555555555555554</v>
      </c>
      <c r="H6" s="18">
        <v>1.299967278641339</v>
      </c>
      <c r="I6" s="18">
        <v>1</v>
      </c>
      <c r="J6" s="18">
        <v>1.9720276851954619</v>
      </c>
      <c r="K6" s="18">
        <f t="shared" si="1"/>
        <v>2.5636359907540013E-2</v>
      </c>
      <c r="L6" s="18">
        <f>L7*(1+F7*G7)</f>
        <v>0.97444767826643919</v>
      </c>
      <c r="M6" s="18"/>
      <c r="N6" s="18">
        <f>L6</f>
        <v>0.97444767826643919</v>
      </c>
    </row>
    <row r="7" spans="1:14">
      <c r="A7" s="13">
        <v>4</v>
      </c>
      <c r="B7">
        <v>2.5</v>
      </c>
      <c r="C7" s="5">
        <v>45670</v>
      </c>
      <c r="D7" s="18">
        <v>0.9715063307647499</v>
      </c>
      <c r="E7" s="18">
        <v>0.96605078949251333</v>
      </c>
      <c r="F7" s="18">
        <v>1.69125910132602E-2</v>
      </c>
      <c r="G7" s="18">
        <v>0.51388888888888884</v>
      </c>
      <c r="H7" s="18">
        <v>0</v>
      </c>
      <c r="I7" s="18"/>
      <c r="J7" s="18"/>
      <c r="K7" s="18">
        <f t="shared" si="1"/>
        <v>3.4079908544257236E-2</v>
      </c>
      <c r="L7" s="18">
        <f>(L8*(H8/100*J8-K7+D8)/D8)</f>
        <v>0.96605153828180623</v>
      </c>
      <c r="M7" s="18"/>
      <c r="N7" s="18"/>
    </row>
    <row r="8" spans="1:14">
      <c r="A8" s="13">
        <v>5</v>
      </c>
      <c r="B8">
        <v>3</v>
      </c>
      <c r="C8" s="5">
        <v>45852</v>
      </c>
      <c r="D8" s="18">
        <v>0.96404622206233692</v>
      </c>
      <c r="E8" s="18">
        <v>0.95729638500968794</v>
      </c>
      <c r="F8" s="18">
        <v>1.8088864371244101E-2</v>
      </c>
      <c r="G8" s="18">
        <v>0.50555555555555554</v>
      </c>
      <c r="H8" s="18">
        <v>1.4609374672295337</v>
      </c>
      <c r="I8" s="18">
        <v>1.005555555555556</v>
      </c>
      <c r="J8" s="18">
        <v>2.9414297196025889</v>
      </c>
      <c r="K8" s="18">
        <f t="shared" si="1"/>
        <v>4.2896039786607928E-2</v>
      </c>
      <c r="L8" s="18">
        <f>L9*(1+F9*G9)</f>
        <v>0.95722194635891811</v>
      </c>
      <c r="M8" s="18"/>
      <c r="N8" s="18">
        <f t="shared" ref="N8" si="2">L8</f>
        <v>0.95722194635891811</v>
      </c>
    </row>
    <row r="9" spans="1:14">
      <c r="A9" s="13">
        <v>6</v>
      </c>
      <c r="B9">
        <v>3.5</v>
      </c>
      <c r="C9" s="5">
        <v>46034</v>
      </c>
      <c r="D9" s="18">
        <v>0.95592389246503651</v>
      </c>
      <c r="E9" s="18">
        <v>0.94796491452005915</v>
      </c>
      <c r="F9" s="18">
        <v>1.9479741902559099E-2</v>
      </c>
      <c r="G9" s="18">
        <v>0.50555555555555554</v>
      </c>
      <c r="H9" s="18">
        <v>0</v>
      </c>
      <c r="I9" s="18"/>
      <c r="J9" s="18"/>
      <c r="K9" s="18">
        <f t="shared" si="1"/>
        <v>5.2310065975705033E-2</v>
      </c>
      <c r="L9" s="18">
        <f>(L10*(H10/100*J10-K9+D10)/D10)</f>
        <v>0.94788706755879304</v>
      </c>
      <c r="M9" s="18"/>
      <c r="N9" s="18"/>
    </row>
    <row r="10" spans="1:14">
      <c r="A10" s="13">
        <v>7</v>
      </c>
      <c r="B10">
        <v>4</v>
      </c>
      <c r="C10" s="5">
        <v>46216</v>
      </c>
      <c r="D10" s="18">
        <v>0.94713494159022615</v>
      </c>
      <c r="E10" s="18">
        <v>0.93807952562658103</v>
      </c>
      <c r="F10" s="18">
        <v>2.0844199194661701E-2</v>
      </c>
      <c r="G10" s="18">
        <v>0.50555555555555554</v>
      </c>
      <c r="H10" s="18">
        <v>1.6038987821592712</v>
      </c>
      <c r="I10" s="18">
        <v>0.99722222222222223</v>
      </c>
      <c r="J10" s="18">
        <v>3.885933730799509</v>
      </c>
      <c r="K10" s="18">
        <f t="shared" si="1"/>
        <v>6.2290879943441235E-2</v>
      </c>
      <c r="L10" s="18">
        <f>L11*(1+F11*G11)</f>
        <v>0.93796763810634931</v>
      </c>
      <c r="M10" s="18"/>
      <c r="N10" s="18">
        <f t="shared" ref="N10" si="3">L10</f>
        <v>0.93796763810634931</v>
      </c>
    </row>
    <row r="11" spans="1:14">
      <c r="A11" s="13">
        <v>8</v>
      </c>
      <c r="B11">
        <v>4.5</v>
      </c>
      <c r="C11" s="5">
        <v>46399</v>
      </c>
      <c r="D11" s="18">
        <v>0.9377546742182391</v>
      </c>
      <c r="E11" s="18">
        <v>0.92766793341618325</v>
      </c>
      <c r="F11" s="18">
        <v>2.2082122249332401E-2</v>
      </c>
      <c r="G11" s="18">
        <v>0.5083333333333333</v>
      </c>
      <c r="H11" s="18">
        <v>0</v>
      </c>
      <c r="I11" s="18"/>
      <c r="J11" s="18"/>
      <c r="K11" s="18">
        <f t="shared" si="1"/>
        <v>7.2817250066059339E-2</v>
      </c>
      <c r="L11" s="18">
        <f>(L12*(H12/100*J12-K11+D12)/D12)</f>
        <v>0.92755575169285642</v>
      </c>
      <c r="M11" s="18"/>
      <c r="N11" s="18"/>
    </row>
    <row r="12" spans="1:14">
      <c r="A12" s="13">
        <v>9</v>
      </c>
      <c r="B12">
        <v>5</v>
      </c>
      <c r="C12" s="5">
        <v>46580</v>
      </c>
      <c r="D12" s="18">
        <v>0.92824283734542401</v>
      </c>
      <c r="E12" s="18">
        <v>0.91712844122432902</v>
      </c>
      <c r="F12" s="18">
        <v>2.2856695926326401E-2</v>
      </c>
      <c r="G12" s="18">
        <v>0.50277777777777777</v>
      </c>
      <c r="H12" s="18">
        <v>1.7348505136407806</v>
      </c>
      <c r="I12" s="18">
        <v>0.99722222222222223</v>
      </c>
      <c r="J12" s="18">
        <v>4.811598115818974</v>
      </c>
      <c r="K12" s="18">
        <f t="shared" si="1"/>
        <v>8.3484467106331728E-2</v>
      </c>
      <c r="L12" s="18">
        <f>L13*(1+F13*G13)</f>
        <v>0.91702772336792282</v>
      </c>
      <c r="M12" s="18"/>
      <c r="N12" s="18">
        <f t="shared" ref="N12" si="4">L12</f>
        <v>0.91702772336792282</v>
      </c>
    </row>
    <row r="13" spans="1:14">
      <c r="A13" s="13">
        <v>10</v>
      </c>
      <c r="B13">
        <v>5.5</v>
      </c>
      <c r="C13" s="5">
        <v>46764</v>
      </c>
      <c r="D13" s="18">
        <v>0.9185963965955859</v>
      </c>
      <c r="E13" s="18">
        <v>0.90637502877283138</v>
      </c>
      <c r="F13" s="18">
        <v>2.3212560544255901E-2</v>
      </c>
      <c r="G13" s="18">
        <v>0.51111111111111107</v>
      </c>
      <c r="H13" s="18">
        <v>0</v>
      </c>
      <c r="I13" s="18"/>
      <c r="J13" s="18"/>
      <c r="K13" s="18">
        <f t="shared" si="1"/>
        <v>9.438287628076146E-2</v>
      </c>
      <c r="L13" s="18">
        <f>(L14*(H14/100*J14-K13+D14)/D14)</f>
        <v>0.90627549184223932</v>
      </c>
      <c r="M13" s="18"/>
      <c r="N13" s="18"/>
    </row>
    <row r="14" spans="1:14">
      <c r="A14" s="13">
        <v>11</v>
      </c>
      <c r="B14">
        <v>6</v>
      </c>
      <c r="C14" s="5">
        <v>46946</v>
      </c>
      <c r="D14" s="18">
        <v>0.90901718303320767</v>
      </c>
      <c r="E14" s="18">
        <v>0.89571111788568369</v>
      </c>
      <c r="F14" s="18">
        <v>2.3549389624901301E-2</v>
      </c>
      <c r="G14" s="18">
        <v>0.50555555555555554</v>
      </c>
      <c r="H14" s="18">
        <v>1.8387961869785592</v>
      </c>
      <c r="I14" s="18">
        <v>1</v>
      </c>
      <c r="J14" s="18">
        <v>5.7206152988521817</v>
      </c>
      <c r="K14" s="18">
        <f t="shared" si="1"/>
        <v>0.10520520285591206</v>
      </c>
      <c r="L14" s="18">
        <f>L15*(1+F15*G15)</f>
        <v>0.8956271107476379</v>
      </c>
      <c r="M14" s="18"/>
      <c r="N14" s="18">
        <f t="shared" ref="N14" si="5">L14</f>
        <v>0.8956271107476379</v>
      </c>
    </row>
    <row r="15" spans="1:14">
      <c r="A15" s="13">
        <v>12</v>
      </c>
      <c r="B15">
        <v>6.5</v>
      </c>
      <c r="C15" s="5">
        <v>47130</v>
      </c>
      <c r="D15" s="18">
        <v>0.89917826917514665</v>
      </c>
      <c r="E15" s="18">
        <v>0.88485868785708344</v>
      </c>
      <c r="F15" s="18">
        <v>2.39959391987998E-2</v>
      </c>
      <c r="G15" s="18">
        <v>0.51111111111111107</v>
      </c>
      <c r="H15" s="18">
        <v>0</v>
      </c>
      <c r="I15" s="18"/>
      <c r="J15" s="18"/>
      <c r="K15" s="18">
        <f t="shared" si="1"/>
        <v>0.11623325669476103</v>
      </c>
      <c r="L15" s="18">
        <f>(L16*(H16/100*J16-K15+D16)/D16)</f>
        <v>0.88477569854897109</v>
      </c>
      <c r="M15" s="18"/>
      <c r="N15" s="18"/>
    </row>
    <row r="16" spans="1:14">
      <c r="A16" s="13">
        <v>13</v>
      </c>
      <c r="B16">
        <v>7</v>
      </c>
      <c r="C16" s="5">
        <v>47311</v>
      </c>
      <c r="D16" s="18">
        <v>0.8893123052047649</v>
      </c>
      <c r="E16" s="18">
        <v>0.8740370041426615</v>
      </c>
      <c r="F16" s="18">
        <v>2.4625720319847801E-2</v>
      </c>
      <c r="G16" s="18">
        <v>0.50277777777777777</v>
      </c>
      <c r="H16" s="18">
        <v>1.9247363679010812</v>
      </c>
      <c r="I16" s="18">
        <v>1</v>
      </c>
      <c r="J16" s="18">
        <v>6.6099276040569466</v>
      </c>
      <c r="K16" s="18">
        <f t="shared" si="1"/>
        <v>0.12724406795864956</v>
      </c>
      <c r="L16" s="18">
        <f>L17*(1+F17*G17)</f>
        <v>0.87397482060522647</v>
      </c>
      <c r="M16" s="18"/>
      <c r="N16" s="18">
        <f t="shared" ref="N16" si="6">L16</f>
        <v>0.87397482060522647</v>
      </c>
    </row>
    <row r="17" spans="1:14">
      <c r="A17" s="13">
        <v>14</v>
      </c>
      <c r="B17">
        <v>7.5</v>
      </c>
      <c r="C17" s="5">
        <v>47497</v>
      </c>
      <c r="D17" s="18">
        <v>0.87897161571716564</v>
      </c>
      <c r="E17" s="18">
        <v>0.86271292715050496</v>
      </c>
      <c r="F17" s="18">
        <v>2.5405401590895899E-2</v>
      </c>
      <c r="G17" s="18">
        <v>0.51666666666666672</v>
      </c>
      <c r="H17" s="18">
        <v>0</v>
      </c>
      <c r="I17" s="18"/>
      <c r="J17" s="18"/>
      <c r="K17" s="18">
        <f t="shared" si="1"/>
        <v>0.13878155851553439</v>
      </c>
      <c r="L17" s="18">
        <f>(L18*(H18/100*J18-K17+D18)/D18)</f>
        <v>0.86265154926679188</v>
      </c>
      <c r="M17" s="18"/>
      <c r="N17" s="18"/>
    </row>
    <row r="18" spans="1:14">
      <c r="A18" s="13">
        <v>15</v>
      </c>
      <c r="B18">
        <v>8</v>
      </c>
      <c r="C18" s="5">
        <v>47676</v>
      </c>
      <c r="D18" s="18">
        <v>0.86884980767765363</v>
      </c>
      <c r="E18" s="18">
        <v>0.85168947472002765</v>
      </c>
      <c r="F18" s="18">
        <v>2.6037552195365E-2</v>
      </c>
      <c r="G18" s="18">
        <v>0.49722222222222218</v>
      </c>
      <c r="H18" s="18">
        <v>2.005668638348582</v>
      </c>
      <c r="I18" s="18">
        <v>1</v>
      </c>
      <c r="J18" s="18">
        <v>7.4787774117346002</v>
      </c>
      <c r="K18" s="18">
        <f t="shared" si="1"/>
        <v>0.15003007872915611</v>
      </c>
      <c r="L18" s="18">
        <f>L19*(1+F19*G19)</f>
        <v>0.8516556131969687</v>
      </c>
      <c r="M18" s="18"/>
      <c r="N18" s="18">
        <f t="shared" ref="N18" si="7">L18</f>
        <v>0.8516556131969687</v>
      </c>
    </row>
    <row r="19" spans="1:14">
      <c r="A19" s="13">
        <v>16</v>
      </c>
      <c r="B19">
        <v>8.5</v>
      </c>
      <c r="C19" s="5">
        <v>47861</v>
      </c>
      <c r="D19" s="18">
        <v>0.85822803261302394</v>
      </c>
      <c r="E19" s="18">
        <v>0.84022535250532049</v>
      </c>
      <c r="F19" s="18">
        <v>2.6550689146691599E-2</v>
      </c>
      <c r="G19" s="18">
        <v>0.51388888888888884</v>
      </c>
      <c r="H19" s="18">
        <v>0</v>
      </c>
      <c r="I19" s="18"/>
      <c r="J19" s="18"/>
      <c r="K19" s="18">
        <f t="shared" si="1"/>
        <v>0.16173983138613873</v>
      </c>
      <c r="L19" s="18">
        <f>(L20*(H20/100*J20-K19+D20)/D20)</f>
        <v>0.84019194677354492</v>
      </c>
      <c r="M19" s="18"/>
      <c r="N19" s="18"/>
    </row>
    <row r="20" spans="1:14">
      <c r="A20" s="13">
        <v>17</v>
      </c>
      <c r="B20">
        <v>9</v>
      </c>
      <c r="C20" s="5">
        <v>48043</v>
      </c>
      <c r="D20" s="18">
        <v>0.84757139217307043</v>
      </c>
      <c r="E20" s="18">
        <v>0.82878111312407454</v>
      </c>
      <c r="F20" s="18">
        <v>2.73135531920118E-2</v>
      </c>
      <c r="G20" s="18">
        <v>0.50555555555555554</v>
      </c>
      <c r="H20" s="18">
        <v>2.0825923952954666</v>
      </c>
      <c r="I20" s="18">
        <v>1.005555555555556</v>
      </c>
      <c r="J20" s="18">
        <v>8.3310575338641879</v>
      </c>
      <c r="K20" s="18">
        <f t="shared" si="1"/>
        <v>0.1734435366843462</v>
      </c>
      <c r="L20" s="18">
        <f>L21*(1+F21*G21)</f>
        <v>0.82869180820907173</v>
      </c>
      <c r="M20" s="18"/>
      <c r="N20" s="18">
        <f t="shared" ref="N20" si="8">L20</f>
        <v>0.82869180820907173</v>
      </c>
    </row>
    <row r="21" spans="1:14">
      <c r="A21" s="13">
        <v>18</v>
      </c>
      <c r="B21">
        <v>9.5</v>
      </c>
      <c r="C21" s="5">
        <v>48225</v>
      </c>
      <c r="D21" s="18">
        <v>0.83669069416023167</v>
      </c>
      <c r="E21" s="18">
        <v>0.81711882271219038</v>
      </c>
      <c r="F21" s="18">
        <v>2.8236771671545199E-2</v>
      </c>
      <c r="G21" s="18">
        <v>0.50555555555555554</v>
      </c>
      <c r="H21" s="18">
        <v>0</v>
      </c>
      <c r="I21" s="18"/>
      <c r="J21" s="18"/>
      <c r="K21" s="18">
        <f t="shared" si="1"/>
        <v>0.18538751119687136</v>
      </c>
      <c r="L21" s="18">
        <f>(L22*(H22/100*J22-K21+D22)/D22)</f>
        <v>0.81702851633405604</v>
      </c>
      <c r="M21" s="18"/>
      <c r="N21" s="18"/>
    </row>
    <row r="22" spans="1:14">
      <c r="A22" s="13">
        <v>19</v>
      </c>
      <c r="B22">
        <v>10</v>
      </c>
      <c r="C22" s="5">
        <v>48407</v>
      </c>
      <c r="D22" s="18">
        <v>0.8257303052243582</v>
      </c>
      <c r="E22" s="18">
        <v>0.80547248666946025</v>
      </c>
      <c r="F22" s="18">
        <v>2.8600242760871801E-2</v>
      </c>
      <c r="G22" s="18">
        <v>0.50555555555555554</v>
      </c>
      <c r="H22" s="18">
        <v>2.1555078537978511</v>
      </c>
      <c r="I22" s="18">
        <v>0.99444444444444446</v>
      </c>
      <c r="J22" s="18">
        <v>9.152200448503967</v>
      </c>
      <c r="K22" s="18">
        <f t="shared" si="1"/>
        <v>0.19732675527344198</v>
      </c>
      <c r="L22" s="18">
        <f>L23*(1+F23*G23)</f>
        <v>0.80543188529183052</v>
      </c>
      <c r="M22" s="18"/>
      <c r="N22" s="18">
        <f t="shared" ref="N22" si="9">L22</f>
        <v>0.80543188529183052</v>
      </c>
    </row>
    <row r="23" spans="1:14">
      <c r="A23" s="13">
        <v>20</v>
      </c>
      <c r="B23">
        <v>10.5</v>
      </c>
      <c r="C23" s="5">
        <v>48591</v>
      </c>
      <c r="D23" s="18">
        <v>0.8146912703004634</v>
      </c>
      <c r="E23" s="18">
        <v>0.79392771566848708</v>
      </c>
      <c r="F23" s="18">
        <v>2.8450443271989499E-2</v>
      </c>
      <c r="G23" s="18">
        <v>0.51111111111111107</v>
      </c>
      <c r="H23" s="18">
        <v>0</v>
      </c>
      <c r="I23" s="18"/>
      <c r="J23" s="18"/>
      <c r="K23" s="18">
        <f t="shared" si="1"/>
        <v>0.20917345613359695</v>
      </c>
      <c r="L23" s="18">
        <f>(L24*(H24/100*J24-K23+D24)/D24)</f>
        <v>0.79388769622706856</v>
      </c>
      <c r="M23" s="18"/>
      <c r="N23" s="18"/>
    </row>
    <row r="24" spans="1:14">
      <c r="A24" s="13">
        <v>21</v>
      </c>
      <c r="B24">
        <v>11</v>
      </c>
      <c r="C24" s="5">
        <v>48772</v>
      </c>
      <c r="D24" s="18">
        <v>0.8037668893231964</v>
      </c>
      <c r="E24" s="18">
        <v>0.78267545028228147</v>
      </c>
      <c r="F24" s="18">
        <v>2.8594478516200401E-2</v>
      </c>
      <c r="G24" s="18">
        <v>0.50277777777777777</v>
      </c>
      <c r="H24" s="18">
        <v>2.2164183907598245</v>
      </c>
      <c r="I24" s="18">
        <v>1</v>
      </c>
      <c r="J24" s="18">
        <v>9.9559673378271629</v>
      </c>
      <c r="K24" s="18">
        <f t="shared" si="1"/>
        <v>0.22072894614423624</v>
      </c>
      <c r="L24" s="18">
        <f>L25*(1+F25*G25)</f>
        <v>0.78269652991789018</v>
      </c>
      <c r="M24" s="18"/>
      <c r="N24" s="18">
        <f t="shared" ref="N24" si="10">L24</f>
        <v>0.78269652991789018</v>
      </c>
    </row>
    <row r="25" spans="1:14">
      <c r="A25" s="13">
        <v>22</v>
      </c>
      <c r="B25">
        <v>11.5</v>
      </c>
      <c r="C25" s="5">
        <v>48956</v>
      </c>
      <c r="D25" s="18">
        <v>0.79251290448087985</v>
      </c>
      <c r="E25" s="18">
        <v>0.77121663179798594</v>
      </c>
      <c r="F25" s="18">
        <v>2.90702074422408E-2</v>
      </c>
      <c r="G25" s="18">
        <v>0.51111111111111107</v>
      </c>
      <c r="H25" s="18">
        <v>0</v>
      </c>
      <c r="I25" s="18"/>
      <c r="J25" s="18"/>
      <c r="K25" s="18">
        <f t="shared" si="1"/>
        <v>0.23250418690601346</v>
      </c>
      <c r="L25" s="18">
        <f>(L26*(H26/100*J26-K25+D26)/D26)</f>
        <v>0.77123740281561259</v>
      </c>
      <c r="M25" s="18"/>
      <c r="N25" s="18"/>
    </row>
    <row r="26" spans="1:14">
      <c r="A26" s="13">
        <v>23</v>
      </c>
      <c r="B26">
        <v>12</v>
      </c>
      <c r="C26" s="5">
        <v>49137</v>
      </c>
      <c r="D26" s="18">
        <v>0.78150798192835358</v>
      </c>
      <c r="E26" s="18">
        <v>0.76007457235941267</v>
      </c>
      <c r="F26" s="18">
        <v>2.9156352552981098E-2</v>
      </c>
      <c r="G26" s="18">
        <v>0.50277777777777777</v>
      </c>
      <c r="H26" s="18">
        <v>2.2713226495193179</v>
      </c>
      <c r="I26" s="18">
        <v>1</v>
      </c>
      <c r="J26" s="18">
        <v>10.73747531975552</v>
      </c>
      <c r="K26" s="18">
        <f t="shared" si="1"/>
        <v>0.24396044225650515</v>
      </c>
      <c r="L26" s="18">
        <f>L27*(1+F27*G27)</f>
        <v>0.76016956179994166</v>
      </c>
      <c r="M26" s="18"/>
      <c r="N26" s="18">
        <f t="shared" ref="N26" si="11">L26</f>
        <v>0.76016956179994166</v>
      </c>
    </row>
    <row r="27" spans="1:14">
      <c r="A27" s="13">
        <v>24</v>
      </c>
      <c r="B27">
        <v>12.5</v>
      </c>
      <c r="C27" s="5">
        <v>49321</v>
      </c>
      <c r="D27" s="18">
        <v>0.77061478256932514</v>
      </c>
      <c r="E27" s="18">
        <v>0.74906175653772222</v>
      </c>
      <c r="F27" s="18">
        <v>2.8765069603566101E-2</v>
      </c>
      <c r="G27" s="18">
        <v>0.51111111111111107</v>
      </c>
      <c r="H27" s="18">
        <v>0</v>
      </c>
      <c r="I27" s="18"/>
      <c r="J27" s="18"/>
      <c r="K27" s="18">
        <f t="shared" si="1"/>
        <v>0.25529013382844523</v>
      </c>
      <c r="L27" s="18">
        <f>(L28*(H28/100*J28-K27+D28)/D28)</f>
        <v>0.74915536966433194</v>
      </c>
      <c r="M27" s="18"/>
      <c r="N27" s="18"/>
    </row>
    <row r="28" spans="1:14">
      <c r="A28" s="13">
        <v>25</v>
      </c>
      <c r="B28">
        <v>13</v>
      </c>
      <c r="C28" s="5">
        <v>49502</v>
      </c>
      <c r="D28" s="18">
        <v>0.76021383187024028</v>
      </c>
      <c r="E28" s="18">
        <v>0.73859675986976769</v>
      </c>
      <c r="F28" s="18">
        <v>2.81809495309472E-2</v>
      </c>
      <c r="G28" s="18">
        <v>0.50277777777777777</v>
      </c>
      <c r="H28" s="18">
        <v>2.3132261758967365</v>
      </c>
      <c r="I28" s="18">
        <v>1</v>
      </c>
      <c r="J28" s="18">
        <v>11.49768915162576</v>
      </c>
      <c r="K28" s="18">
        <f t="shared" si="1"/>
        <v>0.26606141749730089</v>
      </c>
      <c r="L28" s="18">
        <f>L29*(1+F29*G29)</f>
        <v>0.73877900668008822</v>
      </c>
      <c r="M28" s="18"/>
      <c r="N28" s="18">
        <f t="shared" ref="N28" si="12">L28</f>
        <v>0.73877900668008822</v>
      </c>
    </row>
    <row r="29" spans="1:14">
      <c r="A29" s="13">
        <v>26</v>
      </c>
      <c r="B29">
        <v>13.5</v>
      </c>
      <c r="C29" s="5">
        <v>49688</v>
      </c>
      <c r="D29" s="18">
        <v>0.7498602714689413</v>
      </c>
      <c r="E29" s="18">
        <v>0.72826345785213376</v>
      </c>
      <c r="F29" s="18">
        <v>2.7462505736529301E-2</v>
      </c>
      <c r="G29" s="18">
        <v>0.51666666666666672</v>
      </c>
      <c r="H29" s="18">
        <v>0</v>
      </c>
      <c r="I29" s="18"/>
      <c r="J29" s="18"/>
      <c r="K29" s="18">
        <f t="shared" si="1"/>
        <v>0.27670115586748667</v>
      </c>
      <c r="L29" s="18">
        <f>(L30*(H30/100*J30-K29+D30)/D30)</f>
        <v>0.72844315494732537</v>
      </c>
      <c r="M29" s="18"/>
      <c r="N29" s="18"/>
    </row>
    <row r="30" spans="1:14">
      <c r="A30" s="13">
        <v>27</v>
      </c>
      <c r="B30">
        <v>14</v>
      </c>
      <c r="C30" s="5">
        <v>49870</v>
      </c>
      <c r="D30" s="18">
        <v>0.74018567472833596</v>
      </c>
      <c r="E30" s="18">
        <v>0.71863740591193315</v>
      </c>
      <c r="F30" s="18">
        <v>2.6495339851027901E-2</v>
      </c>
      <c r="G30" s="18">
        <v>0.50555555555555554</v>
      </c>
      <c r="H30" s="18">
        <v>2.3411326296242003</v>
      </c>
      <c r="I30" s="18">
        <v>1.005555555555556</v>
      </c>
      <c r="J30" s="18">
        <v>12.241986968991471</v>
      </c>
      <c r="K30" s="18">
        <f t="shared" si="1"/>
        <v>0.28661584398657475</v>
      </c>
      <c r="L30" s="18">
        <f>L31*(1+F31*G31)</f>
        <v>0.71882880781575464</v>
      </c>
      <c r="M30" s="18"/>
      <c r="N30" s="18">
        <f t="shared" ref="N30" si="13">L30</f>
        <v>0.71882880781575464</v>
      </c>
    </row>
    <row r="31" spans="1:14">
      <c r="A31" s="13">
        <v>28</v>
      </c>
      <c r="B31">
        <v>14.5</v>
      </c>
      <c r="C31" s="5">
        <v>50052</v>
      </c>
      <c r="D31" s="18">
        <v>0.73104788279616695</v>
      </c>
      <c r="E31" s="18">
        <v>0.7095309602972194</v>
      </c>
      <c r="F31" s="18">
        <v>2.5383289016291E-2</v>
      </c>
      <c r="G31" s="18">
        <v>0.50555555555555554</v>
      </c>
      <c r="H31" s="18">
        <v>0</v>
      </c>
      <c r="I31" s="18"/>
      <c r="J31" s="18"/>
      <c r="K31" s="18">
        <f t="shared" si="1"/>
        <v>0.29599713494286589</v>
      </c>
      <c r="L31" s="18">
        <f>(L32*(H32/100*J32-K31+D32)/D32)</f>
        <v>0.70972119505151476</v>
      </c>
      <c r="M31" s="18"/>
      <c r="N31" s="18"/>
    </row>
    <row r="32" spans="1:14">
      <c r="A32" s="13">
        <v>29</v>
      </c>
      <c r="B32">
        <v>15</v>
      </c>
      <c r="C32" s="5">
        <v>50234</v>
      </c>
      <c r="D32" s="18">
        <v>0.72227737271592507</v>
      </c>
      <c r="E32" s="18">
        <v>0.700838160456415</v>
      </c>
      <c r="F32" s="18">
        <v>2.4534264978464001E-2</v>
      </c>
      <c r="G32" s="18">
        <v>0.50555555555555554</v>
      </c>
      <c r="H32" s="18">
        <v>2.3520489707096202</v>
      </c>
      <c r="I32" s="18">
        <v>0.99722222222222223</v>
      </c>
      <c r="J32" s="18">
        <v>12.962258015672081</v>
      </c>
      <c r="K32" s="18">
        <f t="shared" si="1"/>
        <v>0.30495585463711411</v>
      </c>
      <c r="L32" s="18">
        <f>L33*(1+F33*G33)</f>
        <v>0.70110008142036284</v>
      </c>
      <c r="M32" s="18"/>
      <c r="N32" s="18">
        <f t="shared" ref="N32" si="14">L32</f>
        <v>0.70110008142036284</v>
      </c>
    </row>
    <row r="33" spans="1:14">
      <c r="A33" s="13">
        <v>30</v>
      </c>
      <c r="B33">
        <v>15.5</v>
      </c>
      <c r="C33" s="5">
        <v>50417</v>
      </c>
      <c r="D33" s="18">
        <v>0.71366212197997081</v>
      </c>
      <c r="E33" s="18">
        <v>0.69241736243795082</v>
      </c>
      <c r="F33" s="18">
        <v>2.3922987110430501E-2</v>
      </c>
      <c r="G33" s="18">
        <v>0.5083333333333333</v>
      </c>
      <c r="H33" s="18">
        <v>0</v>
      </c>
      <c r="I33" s="18"/>
      <c r="J33" s="18"/>
      <c r="K33" s="18">
        <f t="shared" si="1"/>
        <v>0.31363459392432319</v>
      </c>
      <c r="L33" s="18">
        <f>(L34*(H34/100*J34-K33+D34)/D34)</f>
        <v>0.69267654462886208</v>
      </c>
      <c r="M33" s="18"/>
      <c r="N33" s="18"/>
    </row>
    <row r="34" spans="1:14">
      <c r="A34" s="13">
        <v>31</v>
      </c>
      <c r="B34">
        <v>16</v>
      </c>
      <c r="C34" s="5">
        <v>50598</v>
      </c>
      <c r="D34" s="18">
        <v>0.70541109112485312</v>
      </c>
      <c r="E34" s="18">
        <v>0.68446812486706743</v>
      </c>
      <c r="F34" s="18">
        <v>2.3099159315272899E-2</v>
      </c>
      <c r="G34" s="18">
        <v>0.50277777777777777</v>
      </c>
      <c r="H34" s="18">
        <v>2.3539707653184538</v>
      </c>
      <c r="I34" s="18">
        <v>0.99722222222222223</v>
      </c>
      <c r="J34" s="18">
        <v>13.6657096315438</v>
      </c>
      <c r="K34" s="18">
        <f t="shared" si="1"/>
        <v>0.32182705774369619</v>
      </c>
      <c r="L34" s="18">
        <f>L35*(1+F35*G35)</f>
        <v>0.68485893035554624</v>
      </c>
      <c r="M34" s="18"/>
      <c r="N34" s="18">
        <f t="shared" ref="N34" si="15">L34</f>
        <v>0.68485893035554624</v>
      </c>
    </row>
    <row r="35" spans="1:14">
      <c r="A35" s="13">
        <v>32</v>
      </c>
      <c r="B35">
        <v>16.5</v>
      </c>
      <c r="C35" s="5">
        <v>50782</v>
      </c>
      <c r="D35" s="18">
        <v>0.69740868440821069</v>
      </c>
      <c r="E35" s="18">
        <v>0.67685350673892697</v>
      </c>
      <c r="F35" s="18">
        <v>2.2010916327615201E-2</v>
      </c>
      <c r="G35" s="18">
        <v>0.51111111111111107</v>
      </c>
      <c r="H35" s="18">
        <v>0</v>
      </c>
      <c r="I35" s="18"/>
      <c r="J35" s="18"/>
      <c r="K35" s="18">
        <f t="shared" si="1"/>
        <v>0.32967292211190086</v>
      </c>
      <c r="L35" s="18">
        <f>(L36*(H36/100*J36-K35+D36)/D36)</f>
        <v>0.67723996456759661</v>
      </c>
      <c r="M35" s="18"/>
      <c r="N35" s="18"/>
    </row>
    <row r="36" spans="1:14">
      <c r="A36" s="13">
        <v>33</v>
      </c>
      <c r="B36">
        <v>17</v>
      </c>
      <c r="C36" s="5">
        <v>50963</v>
      </c>
      <c r="D36" s="18">
        <v>0.68996315335641056</v>
      </c>
      <c r="E36" s="18">
        <v>0.66981104102760358</v>
      </c>
      <c r="F36" s="18">
        <v>2.0912038267508801E-2</v>
      </c>
      <c r="G36" s="18">
        <v>0.50277777777777777</v>
      </c>
      <c r="H36" s="18">
        <v>2.3459008872154246</v>
      </c>
      <c r="I36" s="18">
        <v>1</v>
      </c>
      <c r="J36" s="18">
        <v>14.355672784900211</v>
      </c>
      <c r="K36" s="18">
        <f t="shared" ref="K36:K67" si="16">K35+(F36*G36*D36)</f>
        <v>0.33692726931127592</v>
      </c>
      <c r="L36" s="18">
        <f>L37*(1+F37*G37)</f>
        <v>0.67034482478768431</v>
      </c>
      <c r="M36" s="18"/>
      <c r="N36" s="18">
        <f t="shared" ref="N36" si="17">L36</f>
        <v>0.67034482478768431</v>
      </c>
    </row>
    <row r="37" spans="1:14">
      <c r="A37" s="13">
        <v>34</v>
      </c>
      <c r="B37">
        <v>17.5</v>
      </c>
      <c r="C37" s="5">
        <v>51147</v>
      </c>
      <c r="D37" s="18">
        <v>0.68282994441576605</v>
      </c>
      <c r="E37" s="18">
        <v>0.66306691465186141</v>
      </c>
      <c r="F37" s="18">
        <v>1.9899997381878601E-2</v>
      </c>
      <c r="G37" s="18">
        <v>0.51111111111111107</v>
      </c>
      <c r="H37" s="18">
        <v>0</v>
      </c>
      <c r="I37" s="18"/>
      <c r="J37" s="18"/>
      <c r="K37" s="18">
        <f t="shared" si="16"/>
        <v>0.34387240763219296</v>
      </c>
      <c r="L37" s="18">
        <f>(L38*(H38/100*J38-K37+D38)/D38)</f>
        <v>0.66359532390343934</v>
      </c>
      <c r="M37" s="18"/>
      <c r="N37" s="18"/>
    </row>
    <row r="38" spans="1:14">
      <c r="A38" s="13">
        <v>35</v>
      </c>
      <c r="B38">
        <v>18</v>
      </c>
      <c r="C38" s="5">
        <v>51329</v>
      </c>
      <c r="D38" s="18">
        <v>0.67609185802575111</v>
      </c>
      <c r="E38" s="18">
        <v>0.65673579124496839</v>
      </c>
      <c r="F38" s="18">
        <v>1.90687052713602E-2</v>
      </c>
      <c r="G38" s="18">
        <v>0.50555555555555554</v>
      </c>
      <c r="H38" s="18">
        <v>2.329840458407646</v>
      </c>
      <c r="I38" s="18">
        <v>1</v>
      </c>
      <c r="J38" s="18">
        <v>15.031764642925969</v>
      </c>
      <c r="K38" s="18">
        <f t="shared" si="16"/>
        <v>0.35039012913392853</v>
      </c>
      <c r="L38" s="18">
        <f>L39*(1+F39*G39)</f>
        <v>0.65742673096469961</v>
      </c>
      <c r="M38" s="18"/>
      <c r="N38" s="18">
        <f t="shared" ref="N38" si="18">L38</f>
        <v>0.65742673096469961</v>
      </c>
    </row>
    <row r="39" spans="1:14">
      <c r="A39" s="13">
        <v>36</v>
      </c>
      <c r="B39">
        <v>18.5</v>
      </c>
      <c r="C39" s="5">
        <v>51515</v>
      </c>
      <c r="D39" s="18">
        <v>0.66942332733091914</v>
      </c>
      <c r="E39" s="18">
        <v>0.65055591075883357</v>
      </c>
      <c r="F39" s="18">
        <v>1.8385904743329899E-2</v>
      </c>
      <c r="G39" s="18">
        <v>0.51666666666666672</v>
      </c>
      <c r="H39" s="18">
        <v>0</v>
      </c>
      <c r="I39" s="18"/>
      <c r="J39" s="18"/>
      <c r="K39" s="18">
        <f t="shared" si="16"/>
        <v>0.35674923845738432</v>
      </c>
      <c r="L39" s="18">
        <f>(L40*(H40/100*J40-K39+D40)/D40)</f>
        <v>0.65124034873928394</v>
      </c>
      <c r="M39" s="18"/>
      <c r="N39" s="18"/>
    </row>
    <row r="40" spans="1:14">
      <c r="A40" s="13">
        <v>37</v>
      </c>
      <c r="B40">
        <v>19</v>
      </c>
      <c r="C40" s="5">
        <v>51694</v>
      </c>
      <c r="D40" s="18">
        <v>0.66324213984716596</v>
      </c>
      <c r="E40" s="18">
        <v>0.6449111569909729</v>
      </c>
      <c r="F40" s="18">
        <v>1.75973078822565E-2</v>
      </c>
      <c r="G40" s="18">
        <v>0.49722222222222218</v>
      </c>
      <c r="H40" s="18">
        <v>2.3087869009544102</v>
      </c>
      <c r="I40" s="18">
        <v>1</v>
      </c>
      <c r="J40" s="18">
        <v>15.695006782773129</v>
      </c>
      <c r="K40" s="18">
        <f t="shared" si="16"/>
        <v>0.36255245631358574</v>
      </c>
      <c r="L40" s="18">
        <f>L41*(1+F41*G41)</f>
        <v>0.64577321875447913</v>
      </c>
      <c r="M40" s="18"/>
      <c r="N40" s="18">
        <f t="shared" ref="N40" si="19">L40</f>
        <v>0.64577321875447913</v>
      </c>
    </row>
    <row r="41" spans="1:14">
      <c r="A41" s="13">
        <v>38</v>
      </c>
      <c r="B41">
        <v>19.5</v>
      </c>
      <c r="C41" s="5">
        <v>51879</v>
      </c>
      <c r="D41" s="18">
        <v>0.65713526584249904</v>
      </c>
      <c r="E41" s="18">
        <v>0.63940852927721736</v>
      </c>
      <c r="F41" s="18">
        <v>1.6746439250249601E-2</v>
      </c>
      <c r="G41" s="18">
        <v>0.51388888888888884</v>
      </c>
      <c r="H41" s="18">
        <v>0</v>
      </c>
      <c r="I41" s="18"/>
      <c r="J41" s="18"/>
      <c r="K41" s="18">
        <f t="shared" si="16"/>
        <v>0.36820763693746406</v>
      </c>
      <c r="L41" s="18">
        <f>(L42*(H42/100*J42-K41+D42)/D42)</f>
        <v>0.64026323560129694</v>
      </c>
      <c r="M41" s="18"/>
      <c r="N41" s="18"/>
    </row>
    <row r="42" spans="1:14">
      <c r="A42" s="13">
        <v>39</v>
      </c>
      <c r="B42">
        <v>20</v>
      </c>
      <c r="C42" s="5">
        <v>52061</v>
      </c>
      <c r="D42" s="18">
        <v>0.65135462223894658</v>
      </c>
      <c r="E42" s="18">
        <v>0.63424325968494244</v>
      </c>
      <c r="F42" s="18">
        <v>1.6108987553141298E-2</v>
      </c>
      <c r="G42" s="18">
        <v>0.50555555555555554</v>
      </c>
      <c r="H42" s="18">
        <v>2.2837403072245603</v>
      </c>
      <c r="I42" s="18">
        <v>1.005555555555556</v>
      </c>
      <c r="J42" s="18">
        <v>16.34998004180229</v>
      </c>
      <c r="K42" s="18">
        <f t="shared" si="16"/>
        <v>0.37351226126364112</v>
      </c>
      <c r="L42" s="19">
        <f t="shared" ref="L42:L60" si="20">L43*(1+F43*G43)</f>
        <v>0.63520827988569206</v>
      </c>
      <c r="M42" s="19">
        <v>0.63520827988569195</v>
      </c>
      <c r="N42" s="18">
        <f>L42</f>
        <v>0.63520827988569206</v>
      </c>
    </row>
    <row r="43" spans="1:14">
      <c r="A43" s="13">
        <v>40</v>
      </c>
      <c r="B43">
        <v>20.5</v>
      </c>
      <c r="C43" s="5">
        <v>52243</v>
      </c>
      <c r="D43" s="18">
        <v>0.64573914209288952</v>
      </c>
      <c r="E43" s="18">
        <v>0.62923895877524105</v>
      </c>
      <c r="F43" s="18">
        <v>1.57299670783482E-2</v>
      </c>
      <c r="G43" s="18">
        <v>0.50555555555555554</v>
      </c>
      <c r="H43" s="18">
        <v>0</v>
      </c>
      <c r="I43" s="18"/>
      <c r="J43" s="18"/>
      <c r="K43" s="18">
        <f t="shared" si="16"/>
        <v>0.37864741929483725</v>
      </c>
      <c r="L43" s="18">
        <f t="shared" si="20"/>
        <v>0.63019672097283375</v>
      </c>
      <c r="M43" s="18"/>
      <c r="N43" s="18"/>
    </row>
    <row r="44" spans="1:14">
      <c r="A44" s="13">
        <v>41</v>
      </c>
      <c r="B44">
        <v>21</v>
      </c>
      <c r="C44" s="5">
        <v>52425</v>
      </c>
      <c r="D44" s="18">
        <v>0.6402741031535254</v>
      </c>
      <c r="E44" s="18">
        <v>0.62437792638072032</v>
      </c>
      <c r="F44" s="18">
        <v>1.53996938488435E-2</v>
      </c>
      <c r="G44" s="18">
        <v>0.50555555555555554</v>
      </c>
      <c r="H44" s="18">
        <v>0</v>
      </c>
      <c r="I44" s="18"/>
      <c r="J44" s="18"/>
      <c r="K44" s="18">
        <f t="shared" si="16"/>
        <v>0.38363220979639029</v>
      </c>
      <c r="L44" s="18">
        <f t="shared" si="20"/>
        <v>0.6253282896196124</v>
      </c>
      <c r="M44" s="18"/>
      <c r="N44" s="18"/>
    </row>
    <row r="45" spans="1:14">
      <c r="A45" s="13">
        <v>42</v>
      </c>
      <c r="B45">
        <v>21.5</v>
      </c>
      <c r="C45" s="5">
        <v>52608</v>
      </c>
      <c r="D45" s="18">
        <v>0.634927113266328</v>
      </c>
      <c r="E45" s="18">
        <v>0.61963339874338974</v>
      </c>
      <c r="F45" s="18">
        <v>1.5062316009954399E-2</v>
      </c>
      <c r="G45" s="18">
        <v>0.5083333333333333</v>
      </c>
      <c r="H45" s="18">
        <v>0</v>
      </c>
      <c r="I45" s="18"/>
      <c r="J45" s="18"/>
      <c r="K45" s="18">
        <f t="shared" si="16"/>
        <v>0.38849364181490392</v>
      </c>
      <c r="L45" s="18">
        <f t="shared" si="20"/>
        <v>0.6205767338256809</v>
      </c>
      <c r="M45" s="18"/>
      <c r="N45" s="18"/>
    </row>
    <row r="46" spans="1:14">
      <c r="A46" s="13">
        <v>43</v>
      </c>
      <c r="B46">
        <v>22</v>
      </c>
      <c r="C46" s="5">
        <v>52790</v>
      </c>
      <c r="D46" s="18">
        <v>0.62975313698155089</v>
      </c>
      <c r="E46" s="18">
        <v>0.61505604443203954</v>
      </c>
      <c r="F46" s="18">
        <v>1.47207844081999E-2</v>
      </c>
      <c r="G46" s="18">
        <v>0.50555555555555554</v>
      </c>
      <c r="H46" s="18">
        <v>0</v>
      </c>
      <c r="I46" s="18"/>
      <c r="J46" s="18"/>
      <c r="K46" s="18">
        <f t="shared" si="16"/>
        <v>0.39318037445129428</v>
      </c>
      <c r="L46" s="18">
        <f t="shared" si="20"/>
        <v>0.61599241091174295</v>
      </c>
      <c r="M46" s="18"/>
      <c r="N46" s="18"/>
    </row>
    <row r="47" spans="1:14">
      <c r="A47" s="13">
        <v>44</v>
      </c>
      <c r="B47">
        <v>22.5</v>
      </c>
      <c r="C47" s="5">
        <v>52974</v>
      </c>
      <c r="D47" s="18">
        <v>0.6246646569460953</v>
      </c>
      <c r="E47" s="18">
        <v>0.61057042362918235</v>
      </c>
      <c r="F47" s="18">
        <v>1.4373795838521899E-2</v>
      </c>
      <c r="G47" s="18">
        <v>0.51111111111111107</v>
      </c>
      <c r="H47" s="18">
        <v>0</v>
      </c>
      <c r="I47" s="18"/>
      <c r="J47" s="18"/>
      <c r="K47" s="18">
        <f t="shared" si="16"/>
        <v>0.39776954004394138</v>
      </c>
      <c r="L47" s="18">
        <f t="shared" si="20"/>
        <v>0.61149996116216054</v>
      </c>
      <c r="M47" s="18"/>
      <c r="N47" s="18"/>
    </row>
    <row r="48" spans="1:14">
      <c r="A48" s="13">
        <v>45</v>
      </c>
      <c r="B48">
        <v>23</v>
      </c>
      <c r="C48" s="5">
        <v>53155</v>
      </c>
      <c r="D48" s="18">
        <v>0.61979555389178442</v>
      </c>
      <c r="E48" s="18">
        <v>0.60629619276544222</v>
      </c>
      <c r="F48" s="18">
        <v>1.40215834415629E-2</v>
      </c>
      <c r="G48" s="18">
        <v>0.50277777777777777</v>
      </c>
      <c r="H48" s="18">
        <v>0</v>
      </c>
      <c r="I48" s="18"/>
      <c r="J48" s="18"/>
      <c r="K48" s="18">
        <f t="shared" si="16"/>
        <v>0.40213893790139749</v>
      </c>
      <c r="L48" s="18">
        <f t="shared" si="20"/>
        <v>0.60721922317351118</v>
      </c>
      <c r="M48" s="18"/>
      <c r="N48" s="18"/>
    </row>
    <row r="49" spans="1:14">
      <c r="A49" s="13">
        <v>46</v>
      </c>
      <c r="B49">
        <v>23.5</v>
      </c>
      <c r="C49" s="5">
        <v>53339</v>
      </c>
      <c r="D49" s="18">
        <v>0.61498122338346772</v>
      </c>
      <c r="E49" s="18">
        <v>0.60209061125679897</v>
      </c>
      <c r="F49" s="18">
        <v>1.36662347718224E-2</v>
      </c>
      <c r="G49" s="18">
        <v>0.51111111111111107</v>
      </c>
      <c r="H49" s="18">
        <v>0</v>
      </c>
      <c r="I49" s="18"/>
      <c r="J49" s="18"/>
      <c r="K49" s="18">
        <f t="shared" si="16"/>
        <v>0.40643455987734156</v>
      </c>
      <c r="L49" s="18">
        <f t="shared" si="20"/>
        <v>0.60300723905231257</v>
      </c>
      <c r="M49" s="18"/>
      <c r="N49" s="18"/>
    </row>
    <row r="50" spans="1:14">
      <c r="A50" s="13">
        <v>47</v>
      </c>
      <c r="B50">
        <v>24</v>
      </c>
      <c r="C50" s="5">
        <v>53520</v>
      </c>
      <c r="D50" s="18">
        <v>0.61037562509683041</v>
      </c>
      <c r="E50" s="18">
        <v>0.59808983719780817</v>
      </c>
      <c r="F50" s="18">
        <v>1.3304591007762099E-2</v>
      </c>
      <c r="G50" s="18">
        <v>0.50277777777777777</v>
      </c>
      <c r="H50" s="18">
        <v>0</v>
      </c>
      <c r="I50" s="18"/>
      <c r="J50" s="18"/>
      <c r="K50" s="18">
        <f t="shared" si="16"/>
        <v>0.41051751667622127</v>
      </c>
      <c r="L50" s="18">
        <f t="shared" si="20"/>
        <v>0.59900037418134522</v>
      </c>
      <c r="M50" s="18"/>
      <c r="N50" s="18"/>
    </row>
    <row r="51" spans="1:14">
      <c r="A51" s="13">
        <v>48</v>
      </c>
      <c r="B51">
        <v>24.5</v>
      </c>
      <c r="C51" s="5">
        <v>53706</v>
      </c>
      <c r="D51" s="18">
        <v>0.60577431036681406</v>
      </c>
      <c r="E51" s="18">
        <v>0.59411834436985755</v>
      </c>
      <c r="F51" s="18">
        <v>1.29380962311729E-2</v>
      </c>
      <c r="G51" s="18">
        <v>0.51666666666666672</v>
      </c>
      <c r="H51" s="18">
        <v>0</v>
      </c>
      <c r="I51" s="18"/>
      <c r="J51" s="18"/>
      <c r="K51" s="18">
        <f t="shared" si="16"/>
        <v>0.41456692594253536</v>
      </c>
      <c r="L51" s="18">
        <f t="shared" si="20"/>
        <v>0.59502283511940979</v>
      </c>
      <c r="M51" s="18"/>
      <c r="N51" s="18"/>
    </row>
    <row r="52" spans="1:14">
      <c r="A52" s="13">
        <v>49</v>
      </c>
      <c r="B52">
        <v>25</v>
      </c>
      <c r="C52" s="5">
        <v>53885</v>
      </c>
      <c r="D52" s="18">
        <v>0.60146922482722898</v>
      </c>
      <c r="E52" s="18">
        <v>0.59042925412809355</v>
      </c>
      <c r="F52" s="18">
        <v>1.2563696621126301E-2</v>
      </c>
      <c r="G52" s="18">
        <v>0.49722222222222218</v>
      </c>
      <c r="H52" s="18">
        <v>2.1509999999999998</v>
      </c>
      <c r="I52" s="18">
        <v>1.002777777777778</v>
      </c>
      <c r="J52" s="18">
        <v>20.04276006411229</v>
      </c>
      <c r="K52" s="18">
        <f t="shared" si="16"/>
        <v>0.41832427360729513</v>
      </c>
      <c r="L52" s="18">
        <f t="shared" si="20"/>
        <v>0.59132883396078717</v>
      </c>
      <c r="M52" s="18"/>
      <c r="N52" s="18">
        <f>L52</f>
        <v>0.59132883396078717</v>
      </c>
    </row>
    <row r="53" spans="1:14">
      <c r="A53" s="13">
        <v>50</v>
      </c>
      <c r="B53">
        <v>25.5</v>
      </c>
      <c r="C53" s="5">
        <v>54070</v>
      </c>
      <c r="D53" s="18">
        <v>0.59714179724358019</v>
      </c>
      <c r="E53" s="18">
        <v>0.58675019054605404</v>
      </c>
      <c r="F53" s="18">
        <v>1.22015450147267E-2</v>
      </c>
      <c r="G53" s="18">
        <v>0.51388888888888884</v>
      </c>
      <c r="H53" s="18">
        <v>0</v>
      </c>
      <c r="I53" s="18"/>
      <c r="J53" s="18"/>
      <c r="K53" s="18">
        <f t="shared" si="16"/>
        <v>0.42206849504079469</v>
      </c>
      <c r="L53" s="18">
        <f t="shared" si="20"/>
        <v>0.58764416494612648</v>
      </c>
      <c r="M53" s="18"/>
      <c r="N53" s="18"/>
    </row>
    <row r="54" spans="1:14">
      <c r="A54" s="13">
        <v>51</v>
      </c>
      <c r="B54">
        <v>26</v>
      </c>
      <c r="C54" s="5">
        <v>54252</v>
      </c>
      <c r="D54" s="18">
        <v>0.59299302894571138</v>
      </c>
      <c r="E54" s="18">
        <v>0.58325070461122197</v>
      </c>
      <c r="F54" s="18">
        <v>1.1868069830263801E-2</v>
      </c>
      <c r="G54" s="18">
        <v>0.50555555555555554</v>
      </c>
      <c r="H54" s="18">
        <v>0</v>
      </c>
      <c r="I54" s="18"/>
      <c r="J54" s="18"/>
      <c r="K54" s="18">
        <f t="shared" si="16"/>
        <v>0.42562643461607941</v>
      </c>
      <c r="L54" s="18">
        <f t="shared" si="20"/>
        <v>0.5841393471837304</v>
      </c>
      <c r="M54" s="18"/>
      <c r="N54" s="18"/>
    </row>
    <row r="55" spans="1:14">
      <c r="A55" s="13">
        <v>52</v>
      </c>
      <c r="B55">
        <v>26.5</v>
      </c>
      <c r="C55" s="5">
        <v>54435</v>
      </c>
      <c r="D55" s="18">
        <v>0.58891583250939061</v>
      </c>
      <c r="E55" s="18">
        <v>0.57983716615897962</v>
      </c>
      <c r="F55" s="18">
        <v>1.15805884799351E-2</v>
      </c>
      <c r="G55" s="18">
        <v>0.5083333333333333</v>
      </c>
      <c r="H55" s="18">
        <v>0</v>
      </c>
      <c r="I55" s="18"/>
      <c r="J55" s="18"/>
      <c r="K55" s="18">
        <f t="shared" si="16"/>
        <v>0.42909326383476432</v>
      </c>
      <c r="L55" s="18">
        <f t="shared" si="20"/>
        <v>0.58072076070671819</v>
      </c>
      <c r="M55" s="18"/>
      <c r="N55" s="18"/>
    </row>
    <row r="56" spans="1:14">
      <c r="A56" s="13">
        <v>53</v>
      </c>
      <c r="B56">
        <v>27</v>
      </c>
      <c r="C56" s="5">
        <v>54616</v>
      </c>
      <c r="D56" s="18">
        <v>0.58496282841536662</v>
      </c>
      <c r="E56" s="18">
        <v>0.57655059372333639</v>
      </c>
      <c r="F56" s="18">
        <v>1.13378239913883E-2</v>
      </c>
      <c r="G56" s="18">
        <v>0.50277777777777777</v>
      </c>
      <c r="H56" s="18">
        <v>0</v>
      </c>
      <c r="I56" s="18"/>
      <c r="J56" s="18"/>
      <c r="K56" s="18">
        <f t="shared" si="16"/>
        <v>0.43242778942310917</v>
      </c>
      <c r="L56" s="18">
        <f t="shared" si="20"/>
        <v>0.57742917997278986</v>
      </c>
      <c r="M56" s="18"/>
      <c r="N56" s="18"/>
    </row>
    <row r="57" spans="1:14">
      <c r="A57" s="13">
        <v>54</v>
      </c>
      <c r="B57">
        <v>27.5</v>
      </c>
      <c r="C57" s="5">
        <v>54800</v>
      </c>
      <c r="D57" s="18">
        <v>0.58101208887308553</v>
      </c>
      <c r="E57" s="18">
        <v>0.57328687722651306</v>
      </c>
      <c r="F57" s="18">
        <v>1.1138458824115899E-2</v>
      </c>
      <c r="G57" s="18">
        <v>0.51111111111111107</v>
      </c>
      <c r="H57" s="18">
        <v>0</v>
      </c>
      <c r="I57" s="18"/>
      <c r="J57" s="18"/>
      <c r="K57" s="18">
        <f t="shared" si="16"/>
        <v>0.43573548547309154</v>
      </c>
      <c r="L57" s="18">
        <f t="shared" si="20"/>
        <v>0.57416049000708547</v>
      </c>
      <c r="M57" s="18"/>
      <c r="N57" s="18"/>
    </row>
    <row r="58" spans="1:14">
      <c r="A58" s="13">
        <v>55</v>
      </c>
      <c r="B58">
        <v>28</v>
      </c>
      <c r="C58" s="5">
        <v>54981</v>
      </c>
      <c r="D58" s="18">
        <v>0.57717966116032426</v>
      </c>
      <c r="E58" s="18">
        <v>0.57013896952900966</v>
      </c>
      <c r="F58" s="18">
        <v>1.09815890846915E-2</v>
      </c>
      <c r="G58" s="18">
        <v>0.50277777777777777</v>
      </c>
      <c r="H58" s="18">
        <v>0</v>
      </c>
      <c r="I58" s="18"/>
      <c r="J58" s="18"/>
      <c r="K58" s="18">
        <f t="shared" si="16"/>
        <v>0.4389222669339517</v>
      </c>
      <c r="L58" s="18">
        <f t="shared" si="20"/>
        <v>0.57100778531787366</v>
      </c>
      <c r="M58" s="18"/>
      <c r="N58" s="18"/>
    </row>
    <row r="59" spans="1:14">
      <c r="A59" s="13">
        <v>56</v>
      </c>
      <c r="B59">
        <v>28.5</v>
      </c>
      <c r="C59" s="5">
        <v>55165</v>
      </c>
      <c r="D59" s="18">
        <v>0.57332577765484094</v>
      </c>
      <c r="E59" s="18">
        <v>0.56698905422546453</v>
      </c>
      <c r="F59" s="18">
        <v>1.0869482791382201E-2</v>
      </c>
      <c r="G59" s="18">
        <v>0.51111111111111107</v>
      </c>
      <c r="H59" s="18">
        <v>0</v>
      </c>
      <c r="I59" s="18"/>
      <c r="J59" s="18"/>
      <c r="K59" s="18">
        <f t="shared" si="16"/>
        <v>0.4421073859895901</v>
      </c>
      <c r="L59" s="18">
        <f t="shared" si="20"/>
        <v>0.5678530699632961</v>
      </c>
      <c r="M59" s="18"/>
      <c r="N59" s="18"/>
    </row>
    <row r="60" spans="1:14">
      <c r="A60" s="13">
        <v>57</v>
      </c>
      <c r="B60">
        <v>29</v>
      </c>
      <c r="C60" s="5">
        <v>55346</v>
      </c>
      <c r="D60" s="18">
        <v>0.56956397983013385</v>
      </c>
      <c r="E60" s="18">
        <v>0.56392695819486949</v>
      </c>
      <c r="F60" s="18">
        <v>1.07999035290495E-2</v>
      </c>
      <c r="G60" s="18">
        <v>0.50277777777777777</v>
      </c>
      <c r="H60" s="18">
        <v>0</v>
      </c>
      <c r="I60" s="18"/>
      <c r="J60" s="18"/>
      <c r="K60" s="18">
        <f t="shared" si="16"/>
        <v>0.44520009077424966</v>
      </c>
      <c r="L60" s="18">
        <f t="shared" si="20"/>
        <v>0.56478630770653415</v>
      </c>
      <c r="M60" s="18"/>
      <c r="N60" s="18"/>
    </row>
    <row r="61" spans="1:14">
      <c r="A61" s="13">
        <v>58</v>
      </c>
      <c r="B61">
        <v>29.5</v>
      </c>
      <c r="C61" s="5">
        <v>55530</v>
      </c>
      <c r="D61" s="18">
        <v>0.56575749067846093</v>
      </c>
      <c r="E61" s="18">
        <v>0.56083828488264831</v>
      </c>
      <c r="F61" s="18">
        <v>1.0775042723228601E-2</v>
      </c>
      <c r="G61" s="18">
        <v>0.51111111111111107</v>
      </c>
      <c r="H61" s="18">
        <v>0</v>
      </c>
      <c r="I61" s="18"/>
      <c r="J61" s="18"/>
      <c r="K61" s="18">
        <f t="shared" si="16"/>
        <v>0.4483158553533626</v>
      </c>
      <c r="L61" s="18">
        <f>(L62*(H62/100*J62-K61+D62)/D62)</f>
        <v>0.56169292766791157</v>
      </c>
      <c r="M61" s="18"/>
      <c r="N61" s="18"/>
    </row>
    <row r="62" spans="1:14">
      <c r="A62" s="13">
        <v>59</v>
      </c>
      <c r="B62">
        <v>30</v>
      </c>
      <c r="C62" s="5">
        <v>55712</v>
      </c>
      <c r="D62" s="18">
        <v>0.56199826955425991</v>
      </c>
      <c r="E62" s="18">
        <v>0.55779469673686044</v>
      </c>
      <c r="F62" s="18">
        <v>1.0793010904611801E-2</v>
      </c>
      <c r="G62" s="18">
        <v>0.50555555555555554</v>
      </c>
      <c r="H62" s="18">
        <v>2.0198756865214849</v>
      </c>
      <c r="I62" s="18">
        <v>1</v>
      </c>
      <c r="J62" s="18">
        <v>22.334839906326771</v>
      </c>
      <c r="K62" s="18">
        <f t="shared" si="16"/>
        <v>0.45138238015393017</v>
      </c>
      <c r="L62" s="18">
        <f t="shared" ref="L62:L70" si="21">L63*(1+F63*G63)</f>
        <v>0.55888838772838656</v>
      </c>
      <c r="M62" s="18"/>
      <c r="N62" s="18">
        <f>L62</f>
        <v>0.55888838772838656</v>
      </c>
    </row>
    <row r="63" spans="1:14">
      <c r="A63" s="13">
        <v>60</v>
      </c>
      <c r="B63">
        <v>30.5</v>
      </c>
      <c r="C63" s="5">
        <v>55897</v>
      </c>
      <c r="D63" s="18">
        <v>0.55817405862420799</v>
      </c>
      <c r="E63" s="18">
        <v>0.55470287369725568</v>
      </c>
      <c r="F63" s="18">
        <v>1.0846384244233899E-2</v>
      </c>
      <c r="G63" s="18">
        <v>0.51388888888888884</v>
      </c>
      <c r="H63" s="18">
        <v>0</v>
      </c>
      <c r="I63" s="18"/>
      <c r="J63" s="18"/>
      <c r="K63" s="18">
        <f t="shared" si="16"/>
        <v>0.45449355101025046</v>
      </c>
      <c r="L63" s="18">
        <f t="shared" si="21"/>
        <v>0.55579050242425043</v>
      </c>
      <c r="M63" s="18"/>
      <c r="N63" s="18"/>
    </row>
    <row r="64" spans="1:14">
      <c r="A64" s="13">
        <v>61</v>
      </c>
      <c r="B64">
        <v>31</v>
      </c>
      <c r="C64" s="5">
        <v>56079</v>
      </c>
      <c r="D64" s="18">
        <v>0.55441017461360897</v>
      </c>
      <c r="E64" s="18">
        <v>0.55166414272305053</v>
      </c>
      <c r="F64" s="18">
        <v>1.08955362271776E-2</v>
      </c>
      <c r="G64" s="18">
        <v>0.50555555555555554</v>
      </c>
      <c r="H64" s="18">
        <v>0</v>
      </c>
      <c r="I64" s="18"/>
      <c r="J64" s="18"/>
      <c r="K64" s="18">
        <f t="shared" si="16"/>
        <v>0.45754740794881643</v>
      </c>
      <c r="L64" s="18">
        <f t="shared" si="21"/>
        <v>0.55274581328530903</v>
      </c>
      <c r="M64" s="18"/>
      <c r="N64" s="18"/>
    </row>
    <row r="65" spans="1:14">
      <c r="A65" s="13">
        <v>62</v>
      </c>
      <c r="B65">
        <v>31.5</v>
      </c>
      <c r="C65" s="5">
        <v>56261</v>
      </c>
      <c r="D65" s="18">
        <v>0.55064827385461712</v>
      </c>
      <c r="E65" s="18">
        <v>0.5486319065880878</v>
      </c>
      <c r="F65" s="18">
        <v>1.0932826565357399E-2</v>
      </c>
      <c r="G65" s="18">
        <v>0.50555555555555554</v>
      </c>
      <c r="H65" s="18">
        <v>0</v>
      </c>
      <c r="I65" s="18"/>
      <c r="J65" s="18"/>
      <c r="K65" s="18">
        <f t="shared" si="16"/>
        <v>0.46059092422085812</v>
      </c>
      <c r="L65" s="18">
        <f t="shared" si="21"/>
        <v>0.54970749683013476</v>
      </c>
      <c r="M65" s="18"/>
      <c r="N65" s="18"/>
    </row>
    <row r="66" spans="1:14">
      <c r="A66" s="13">
        <v>63</v>
      </c>
      <c r="B66">
        <v>32</v>
      </c>
      <c r="C66" s="5">
        <v>56443</v>
      </c>
      <c r="D66" s="18">
        <v>0.546891901283866</v>
      </c>
      <c r="E66" s="18">
        <v>0.54560963384076011</v>
      </c>
      <c r="F66" s="18">
        <v>1.0956774856977301E-2</v>
      </c>
      <c r="G66" s="18">
        <v>0.50555555555555554</v>
      </c>
      <c r="H66" s="18">
        <v>0</v>
      </c>
      <c r="I66" s="18"/>
      <c r="J66" s="18"/>
      <c r="K66" s="18">
        <f t="shared" si="16"/>
        <v>0.46362029977889097</v>
      </c>
      <c r="L66" s="18">
        <f t="shared" si="21"/>
        <v>0.54667929893146827</v>
      </c>
      <c r="M66" s="18"/>
      <c r="N66" s="18"/>
    </row>
    <row r="67" spans="1:14">
      <c r="A67" s="13">
        <v>64</v>
      </c>
      <c r="B67">
        <v>32.5</v>
      </c>
      <c r="C67" s="5">
        <v>56626</v>
      </c>
      <c r="D67" s="18">
        <v>0.5431239515609213</v>
      </c>
      <c r="E67" s="18">
        <v>0.54258422783504157</v>
      </c>
      <c r="F67" s="18">
        <v>1.09691991996723E-2</v>
      </c>
      <c r="G67" s="18">
        <v>0.5083333333333333</v>
      </c>
      <c r="H67" s="18">
        <v>0</v>
      </c>
      <c r="I67" s="18"/>
      <c r="J67" s="18"/>
      <c r="K67" s="18">
        <f t="shared" si="16"/>
        <v>0.46664876414307332</v>
      </c>
      <c r="L67" s="18">
        <f t="shared" si="21"/>
        <v>0.54364791295353432</v>
      </c>
      <c r="M67" s="18"/>
      <c r="N67" s="18"/>
    </row>
    <row r="68" spans="1:14">
      <c r="A68" s="13">
        <v>65</v>
      </c>
      <c r="B68">
        <v>33</v>
      </c>
      <c r="C68" s="5">
        <v>56807</v>
      </c>
      <c r="D68" s="18">
        <v>0.53940946446737725</v>
      </c>
      <c r="E68" s="18">
        <v>0.53960847472234175</v>
      </c>
      <c r="F68" s="18">
        <v>1.0968369202468299E-2</v>
      </c>
      <c r="G68" s="18">
        <v>0.50277777777777777</v>
      </c>
      <c r="H68" s="18">
        <v>0</v>
      </c>
      <c r="I68" s="18"/>
      <c r="J68" s="18"/>
      <c r="K68" s="18">
        <f t="shared" ref="K68:K99" si="22">K67+(F68*G68*D68)</f>
        <v>0.4696234197834141</v>
      </c>
      <c r="L68" s="18">
        <f t="shared" si="21"/>
        <v>0.54066632615798882</v>
      </c>
      <c r="M68" s="18"/>
      <c r="N68" s="18"/>
    </row>
    <row r="69" spans="1:14">
      <c r="A69" s="13">
        <v>66</v>
      </c>
      <c r="B69">
        <v>33.5</v>
      </c>
      <c r="C69" s="5">
        <v>56991</v>
      </c>
      <c r="D69" s="18">
        <v>0.53564926141067259</v>
      </c>
      <c r="E69" s="18">
        <v>0.53660360945520758</v>
      </c>
      <c r="F69" s="18">
        <v>1.0956102632769599E-2</v>
      </c>
      <c r="G69" s="18">
        <v>0.51111111111111107</v>
      </c>
      <c r="H69" s="18">
        <v>0</v>
      </c>
      <c r="I69" s="18"/>
      <c r="J69" s="18"/>
      <c r="K69" s="18">
        <f t="shared" si="22"/>
        <v>0.47262294090592966</v>
      </c>
      <c r="L69" s="18">
        <f t="shared" si="21"/>
        <v>0.53765557013638055</v>
      </c>
      <c r="M69" s="18"/>
      <c r="N69" s="18"/>
    </row>
    <row r="70" spans="1:14">
      <c r="A70" s="13">
        <v>67</v>
      </c>
      <c r="B70">
        <v>34</v>
      </c>
      <c r="C70" s="5">
        <v>57173</v>
      </c>
      <c r="D70" s="18">
        <v>0.53194885680512016</v>
      </c>
      <c r="E70" s="18">
        <v>0.53365464410213215</v>
      </c>
      <c r="F70" s="18">
        <v>1.0930511605727E-2</v>
      </c>
      <c r="G70" s="18">
        <v>0.50555555555555554</v>
      </c>
      <c r="H70" s="18">
        <v>0</v>
      </c>
      <c r="I70" s="18"/>
      <c r="J70" s="18"/>
      <c r="K70" s="18">
        <f t="shared" si="22"/>
        <v>0.47556248011103802</v>
      </c>
      <c r="L70" s="18">
        <f t="shared" si="21"/>
        <v>0.53470082361533144</v>
      </c>
      <c r="M70" s="18"/>
      <c r="N70" s="18"/>
    </row>
    <row r="71" spans="1:14">
      <c r="A71" s="13">
        <v>68</v>
      </c>
      <c r="B71">
        <v>34.5</v>
      </c>
      <c r="C71" s="5">
        <v>57357</v>
      </c>
      <c r="D71" s="18">
        <v>0.52823009110863162</v>
      </c>
      <c r="E71" s="18">
        <v>0.53069993891946243</v>
      </c>
      <c r="F71" s="18">
        <v>1.0893057448593301E-2</v>
      </c>
      <c r="G71" s="18">
        <v>0.51111111111111107</v>
      </c>
      <c r="H71" s="18">
        <v>0</v>
      </c>
      <c r="I71" s="18"/>
      <c r="J71" s="18"/>
      <c r="K71" s="18">
        <f t="shared" si="22"/>
        <v>0.47850343426117148</v>
      </c>
      <c r="L71" s="18">
        <f>(L72*(H72/100*J72-K71+D72)/D72)</f>
        <v>0.53174032601229437</v>
      </c>
      <c r="M71" s="18"/>
      <c r="N71" s="18"/>
    </row>
    <row r="72" spans="1:14">
      <c r="A72" s="13">
        <v>69</v>
      </c>
      <c r="B72">
        <v>35</v>
      </c>
      <c r="C72" s="5">
        <v>57538</v>
      </c>
      <c r="D72" s="18">
        <v>0.52459684006245333</v>
      </c>
      <c r="E72" s="18">
        <v>0.52782259332972981</v>
      </c>
      <c r="F72" s="18">
        <v>1.08424636949378E-2</v>
      </c>
      <c r="G72" s="18">
        <v>0.50277777777777777</v>
      </c>
      <c r="H72" s="18">
        <v>1.9217777864136132</v>
      </c>
      <c r="I72" s="18">
        <v>1</v>
      </c>
      <c r="J72" s="18">
        <v>25.032159696291082</v>
      </c>
      <c r="K72" s="18">
        <f t="shared" si="22"/>
        <v>0.48136319514146864</v>
      </c>
      <c r="L72" s="18">
        <f t="shared" ref="L72:L80" si="23">L73*(1+F73*G73)</f>
        <v>0.52915902087116196</v>
      </c>
      <c r="M72" s="18"/>
      <c r="N72" s="18">
        <f>L72</f>
        <v>0.52915902087116196</v>
      </c>
    </row>
    <row r="73" spans="1:14">
      <c r="A73" s="13">
        <v>70</v>
      </c>
      <c r="B73">
        <v>35.5</v>
      </c>
      <c r="C73" s="5">
        <v>57724</v>
      </c>
      <c r="D73" s="18">
        <v>0.52089196930492376</v>
      </c>
      <c r="E73" s="18">
        <v>0.5248990250607739</v>
      </c>
      <c r="F73" s="18">
        <v>1.07802052586819E-2</v>
      </c>
      <c r="G73" s="18">
        <v>0.51666666666666672</v>
      </c>
      <c r="H73" s="18">
        <v>0</v>
      </c>
      <c r="I73" s="18"/>
      <c r="J73" s="18"/>
      <c r="K73" s="18">
        <f t="shared" si="22"/>
        <v>0.48426444502060012</v>
      </c>
      <c r="L73" s="18">
        <f t="shared" si="23"/>
        <v>0.52622805023405572</v>
      </c>
      <c r="M73" s="18"/>
      <c r="N73" s="18"/>
    </row>
    <row r="74" spans="1:14">
      <c r="A74" s="13">
        <v>71</v>
      </c>
      <c r="B74">
        <v>36</v>
      </c>
      <c r="C74" s="5">
        <v>57903</v>
      </c>
      <c r="D74" s="18">
        <v>0.51735683932539711</v>
      </c>
      <c r="E74" s="18">
        <v>0.5221203071921855</v>
      </c>
      <c r="F74" s="18">
        <v>1.07032216274824E-2</v>
      </c>
      <c r="G74" s="18">
        <v>0.49722222222222218</v>
      </c>
      <c r="H74" s="18">
        <v>0</v>
      </c>
      <c r="I74" s="18"/>
      <c r="J74" s="18"/>
      <c r="K74" s="18">
        <f t="shared" si="22"/>
        <v>0.4870177558517419</v>
      </c>
      <c r="L74" s="18">
        <f t="shared" si="23"/>
        <v>0.5234423530314074</v>
      </c>
      <c r="M74" s="18"/>
      <c r="N74" s="18"/>
    </row>
    <row r="75" spans="1:14">
      <c r="A75" s="13">
        <v>72</v>
      </c>
      <c r="B75">
        <v>36.5</v>
      </c>
      <c r="C75" s="5">
        <v>58088</v>
      </c>
      <c r="D75" s="18">
        <v>0.51373727224032295</v>
      </c>
      <c r="E75" s="18">
        <v>0.51928740042500721</v>
      </c>
      <c r="F75" s="18">
        <v>1.06158621108882E-2</v>
      </c>
      <c r="G75" s="18">
        <v>0.51388888888888884</v>
      </c>
      <c r="H75" s="18">
        <v>0</v>
      </c>
      <c r="I75" s="18"/>
      <c r="J75" s="18"/>
      <c r="K75" s="18">
        <f t="shared" si="22"/>
        <v>0.48982038459622945</v>
      </c>
      <c r="L75" s="18">
        <f t="shared" si="23"/>
        <v>0.52060227314233964</v>
      </c>
      <c r="M75" s="18"/>
      <c r="N75" s="18"/>
    </row>
    <row r="76" spans="1:14">
      <c r="A76" s="13">
        <v>73</v>
      </c>
      <c r="B76">
        <v>37</v>
      </c>
      <c r="C76" s="5">
        <v>58270</v>
      </c>
      <c r="D76" s="18">
        <v>0.51021287719542696</v>
      </c>
      <c r="E76" s="18">
        <v>0.51654201597351568</v>
      </c>
      <c r="F76" s="18">
        <v>1.05130475648442E-2</v>
      </c>
      <c r="G76" s="18">
        <v>0.50555555555555554</v>
      </c>
      <c r="H76" s="18">
        <v>0</v>
      </c>
      <c r="I76" s="18"/>
      <c r="J76" s="18"/>
      <c r="K76" s="18">
        <f t="shared" si="22"/>
        <v>0.49253213012067271</v>
      </c>
      <c r="L76" s="18">
        <f t="shared" si="23"/>
        <v>0.51784993718170136</v>
      </c>
      <c r="M76" s="18"/>
      <c r="N76" s="18"/>
    </row>
    <row r="77" spans="1:14">
      <c r="A77" s="13">
        <v>74</v>
      </c>
      <c r="B77">
        <v>37.5</v>
      </c>
      <c r="C77" s="5">
        <v>58452</v>
      </c>
      <c r="D77" s="18">
        <v>0.50672726759364373</v>
      </c>
      <c r="E77" s="18">
        <v>0.51384074987513662</v>
      </c>
      <c r="F77" s="18">
        <v>1.0398104339398801E-2</v>
      </c>
      <c r="G77" s="18">
        <v>0.50555555555555554</v>
      </c>
      <c r="H77" s="18">
        <v>0</v>
      </c>
      <c r="I77" s="18"/>
      <c r="J77" s="18"/>
      <c r="K77" s="18">
        <f t="shared" si="22"/>
        <v>0.4951959038595905</v>
      </c>
      <c r="L77" s="18">
        <f t="shared" si="23"/>
        <v>0.51514192908686662</v>
      </c>
      <c r="M77" s="18"/>
      <c r="N77" s="18"/>
    </row>
    <row r="78" spans="1:14">
      <c r="A78" s="13">
        <v>75</v>
      </c>
      <c r="B78">
        <v>38</v>
      </c>
      <c r="C78" s="5">
        <v>58634</v>
      </c>
      <c r="D78" s="18">
        <v>0.50328295965269065</v>
      </c>
      <c r="E78" s="18">
        <v>0.51118640050096331</v>
      </c>
      <c r="F78" s="18">
        <v>1.0270933253150399E-2</v>
      </c>
      <c r="G78" s="18">
        <v>0.50555555555555554</v>
      </c>
      <c r="H78" s="18">
        <v>0</v>
      </c>
      <c r="I78" s="18"/>
      <c r="J78" s="18"/>
      <c r="K78" s="18">
        <f t="shared" si="22"/>
        <v>0.49780921440086667</v>
      </c>
      <c r="L78" s="18">
        <f t="shared" si="23"/>
        <v>0.5124808582056366</v>
      </c>
      <c r="M78" s="18"/>
      <c r="N78" s="18"/>
    </row>
    <row r="79" spans="1:14">
      <c r="A79" s="13">
        <v>76</v>
      </c>
      <c r="B79">
        <v>38.5</v>
      </c>
      <c r="C79" s="5">
        <v>58818</v>
      </c>
      <c r="D79" s="18">
        <v>0.49984527842257231</v>
      </c>
      <c r="E79" s="18">
        <v>0.50855337125243827</v>
      </c>
      <c r="F79" s="18">
        <v>1.0129868870633E-2</v>
      </c>
      <c r="G79" s="18">
        <v>0.51111111111111107</v>
      </c>
      <c r="H79" s="18">
        <v>0</v>
      </c>
      <c r="I79" s="18"/>
      <c r="J79" s="18"/>
      <c r="K79" s="18">
        <f t="shared" si="22"/>
        <v>0.50039715759861314</v>
      </c>
      <c r="L79" s="18">
        <f t="shared" si="23"/>
        <v>0.5098411614381908</v>
      </c>
      <c r="M79" s="18"/>
      <c r="N79" s="18"/>
    </row>
    <row r="80" spans="1:14">
      <c r="A80" s="13">
        <v>77</v>
      </c>
      <c r="B80">
        <v>39</v>
      </c>
      <c r="C80" s="5">
        <v>58999</v>
      </c>
      <c r="D80" s="18">
        <v>0.49650964556268212</v>
      </c>
      <c r="E80" s="18">
        <v>0.50601548457043399</v>
      </c>
      <c r="F80" s="18">
        <v>9.9754465449435996E-3</v>
      </c>
      <c r="G80" s="18">
        <v>0.50277777777777777</v>
      </c>
      <c r="H80" s="18">
        <v>0</v>
      </c>
      <c r="I80" s="18"/>
      <c r="J80" s="18"/>
      <c r="K80" s="18">
        <f t="shared" si="22"/>
        <v>0.50288736838342718</v>
      </c>
      <c r="L80" s="18">
        <f t="shared" si="23"/>
        <v>0.50729684816313569</v>
      </c>
      <c r="M80" s="18"/>
      <c r="N80" s="18"/>
    </row>
    <row r="81" spans="1:14">
      <c r="A81" s="13">
        <v>78</v>
      </c>
      <c r="B81">
        <v>39.5</v>
      </c>
      <c r="C81" s="5">
        <v>59183</v>
      </c>
      <c r="D81" s="18">
        <v>0.49316783235733408</v>
      </c>
      <c r="E81" s="18">
        <v>0.50349129580180585</v>
      </c>
      <c r="F81" s="18">
        <v>9.8087697655727703E-3</v>
      </c>
      <c r="G81" s="18">
        <v>0.51111111111111107</v>
      </c>
      <c r="H81" s="18">
        <v>0</v>
      </c>
      <c r="I81" s="18"/>
      <c r="J81" s="18"/>
      <c r="K81" s="18">
        <f t="shared" si="22"/>
        <v>0.50535980179759898</v>
      </c>
      <c r="L81" s="18">
        <f>(L82*(H82/100*J82-K81+D82))/D82</f>
        <v>0.50476626748815712</v>
      </c>
      <c r="M81" s="18"/>
      <c r="N81" s="18"/>
    </row>
    <row r="82" spans="1:14">
      <c r="A82" s="13">
        <v>79</v>
      </c>
      <c r="B82">
        <v>40</v>
      </c>
      <c r="C82" s="5">
        <v>59364</v>
      </c>
      <c r="D82" s="18">
        <v>0.48993103816542471</v>
      </c>
      <c r="E82" s="18">
        <v>0.50106569279954849</v>
      </c>
      <c r="F82" s="18">
        <v>9.6282859328103293E-3</v>
      </c>
      <c r="G82" s="18">
        <v>0.50277777777777777</v>
      </c>
      <c r="H82" s="18">
        <v>1.8416762161150193</v>
      </c>
      <c r="I82" s="18">
        <v>1</v>
      </c>
      <c r="J82" s="18">
        <v>27.549491555734601</v>
      </c>
      <c r="K82" s="18">
        <f t="shared" si="22"/>
        <v>0.50773150318157001</v>
      </c>
      <c r="L82" s="19">
        <f t="shared" ref="L82:L100" si="24">L83*(1+F83*G83)</f>
        <v>0.502701176043445</v>
      </c>
      <c r="M82" s="19">
        <v>0.502701176043445</v>
      </c>
      <c r="N82" s="18">
        <f>L82</f>
        <v>0.502701176043445</v>
      </c>
    </row>
    <row r="83" spans="1:14">
      <c r="A83" s="13">
        <v>80</v>
      </c>
      <c r="B83">
        <v>40.5</v>
      </c>
      <c r="C83" s="5">
        <v>59548</v>
      </c>
      <c r="D83" s="18">
        <v>0.48669362634470931</v>
      </c>
      <c r="E83" s="18">
        <v>0.49865975423065317</v>
      </c>
      <c r="F83" s="18">
        <v>9.4398456525104004E-3</v>
      </c>
      <c r="G83" s="18">
        <v>0.51111111111111107</v>
      </c>
      <c r="H83" s="18">
        <v>0</v>
      </c>
      <c r="I83" s="18"/>
      <c r="J83" s="18"/>
      <c r="K83" s="18">
        <f t="shared" si="22"/>
        <v>0.51007970745697795</v>
      </c>
      <c r="L83" s="18">
        <f t="shared" si="24"/>
        <v>0.50028738446790433</v>
      </c>
      <c r="M83" s="18"/>
      <c r="N83" s="18"/>
    </row>
    <row r="84" spans="1:14">
      <c r="A84" s="13">
        <v>81</v>
      </c>
      <c r="B84">
        <v>41</v>
      </c>
      <c r="C84" s="5">
        <v>59729</v>
      </c>
      <c r="D84" s="18">
        <v>0.4835606296701902</v>
      </c>
      <c r="E84" s="18">
        <v>0.49634912885889831</v>
      </c>
      <c r="F84" s="18">
        <v>9.2590451040213406E-3</v>
      </c>
      <c r="G84" s="18">
        <v>0.50277777777777777</v>
      </c>
      <c r="H84" s="18">
        <v>0</v>
      </c>
      <c r="I84" s="18"/>
      <c r="J84" s="18"/>
      <c r="K84" s="18">
        <f t="shared" si="22"/>
        <v>0.51233079926863567</v>
      </c>
      <c r="L84" s="18">
        <f t="shared" si="24"/>
        <v>0.49796921719269699</v>
      </c>
      <c r="M84" s="18"/>
      <c r="N84" s="18"/>
    </row>
    <row r="85" spans="1:14">
      <c r="A85" s="13">
        <v>82</v>
      </c>
      <c r="B85">
        <v>41.5</v>
      </c>
      <c r="C85" s="5">
        <v>59915</v>
      </c>
      <c r="D85" s="18">
        <v>0.48039334667767708</v>
      </c>
      <c r="E85" s="18">
        <v>0.49402867581010651</v>
      </c>
      <c r="F85" s="18">
        <v>9.0909691464970098E-3</v>
      </c>
      <c r="G85" s="18">
        <v>0.51666666666666672</v>
      </c>
      <c r="H85" s="18">
        <v>0</v>
      </c>
      <c r="I85" s="18"/>
      <c r="J85" s="18"/>
      <c r="K85" s="18">
        <f t="shared" si="22"/>
        <v>0.51458720716659745</v>
      </c>
      <c r="L85" s="18">
        <f t="shared" si="24"/>
        <v>0.49564119016282032</v>
      </c>
      <c r="M85" s="18"/>
      <c r="N85" s="18"/>
    </row>
    <row r="86" spans="1:14">
      <c r="A86" s="13">
        <v>83</v>
      </c>
      <c r="B86">
        <v>42</v>
      </c>
      <c r="C86" s="5">
        <v>60097</v>
      </c>
      <c r="D86" s="18">
        <v>0.4773444128346101</v>
      </c>
      <c r="E86" s="18">
        <v>0.49180732439275149</v>
      </c>
      <c r="F86" s="18">
        <v>8.9341530849784603E-3</v>
      </c>
      <c r="G86" s="18">
        <v>0.50555555555555554</v>
      </c>
      <c r="H86" s="18">
        <v>0</v>
      </c>
      <c r="I86" s="18"/>
      <c r="J86" s="18"/>
      <c r="K86" s="18">
        <f t="shared" si="22"/>
        <v>0.51674323379618436</v>
      </c>
      <c r="L86" s="18">
        <f t="shared" si="24"/>
        <v>0.49341258823305922</v>
      </c>
      <c r="M86" s="18"/>
      <c r="N86" s="18"/>
    </row>
    <row r="87" spans="1:14">
      <c r="A87" s="13">
        <v>84</v>
      </c>
      <c r="B87">
        <v>42.5</v>
      </c>
      <c r="C87" s="5">
        <v>60279</v>
      </c>
      <c r="D87" s="18">
        <v>0.47434415945888991</v>
      </c>
      <c r="E87" s="18">
        <v>0.4896309584163458</v>
      </c>
      <c r="F87" s="18">
        <v>8.7916116448463408E-3</v>
      </c>
      <c r="G87" s="18">
        <v>0.50555555555555554</v>
      </c>
      <c r="H87" s="18">
        <v>0</v>
      </c>
      <c r="I87" s="18"/>
      <c r="J87" s="18"/>
      <c r="K87" s="18">
        <f t="shared" si="22"/>
        <v>0.51885152666769929</v>
      </c>
      <c r="L87" s="18">
        <f t="shared" si="24"/>
        <v>0.49122924708873428</v>
      </c>
      <c r="M87" s="18"/>
      <c r="N87" s="18"/>
    </row>
    <row r="88" spans="1:14">
      <c r="A88" s="13">
        <v>85</v>
      </c>
      <c r="B88">
        <v>43</v>
      </c>
      <c r="C88" s="5">
        <v>60461</v>
      </c>
      <c r="D88" s="18">
        <v>0.47139160614948861</v>
      </c>
      <c r="E88" s="18">
        <v>0.48749599328334481</v>
      </c>
      <c r="F88" s="18">
        <v>8.6626516188248893E-3</v>
      </c>
      <c r="G88" s="18">
        <v>0.50555555555555554</v>
      </c>
      <c r="H88" s="18">
        <v>0</v>
      </c>
      <c r="I88" s="18"/>
      <c r="J88" s="18"/>
      <c r="K88" s="18">
        <f t="shared" si="22"/>
        <v>0.52091596341586666</v>
      </c>
      <c r="L88" s="18">
        <f t="shared" si="24"/>
        <v>0.4890873128486346</v>
      </c>
      <c r="M88" s="18"/>
      <c r="N88" s="18"/>
    </row>
    <row r="89" spans="1:14">
      <c r="A89" s="13">
        <v>86</v>
      </c>
      <c r="B89">
        <v>43.5</v>
      </c>
      <c r="C89" s="5">
        <v>60644</v>
      </c>
      <c r="D89" s="18">
        <v>0.46846995448104201</v>
      </c>
      <c r="E89" s="18">
        <v>0.48538748473141352</v>
      </c>
      <c r="F89" s="18">
        <v>8.5453174166054604E-3</v>
      </c>
      <c r="G89" s="18">
        <v>0.5083333333333333</v>
      </c>
      <c r="H89" s="18">
        <v>0</v>
      </c>
      <c r="I89" s="18"/>
      <c r="J89" s="18"/>
      <c r="K89" s="18">
        <f t="shared" si="22"/>
        <v>0.5229509358503015</v>
      </c>
      <c r="L89" s="18">
        <f t="shared" si="24"/>
        <v>0.48697197006954074</v>
      </c>
      <c r="M89" s="18"/>
      <c r="N89" s="18"/>
    </row>
    <row r="90" spans="1:14">
      <c r="A90" s="13">
        <v>87</v>
      </c>
      <c r="B90">
        <v>44</v>
      </c>
      <c r="C90" s="5">
        <v>60825</v>
      </c>
      <c r="D90" s="18">
        <v>0.46562578064583421</v>
      </c>
      <c r="E90" s="18">
        <v>0.48333624725846241</v>
      </c>
      <c r="F90" s="18">
        <v>8.4409339494139791E-3</v>
      </c>
      <c r="G90" s="18">
        <v>0.50277777777777777</v>
      </c>
      <c r="H90" s="18">
        <v>0</v>
      </c>
      <c r="I90" s="18"/>
      <c r="J90" s="18"/>
      <c r="K90" s="18">
        <f t="shared" si="22"/>
        <v>0.52492701162581046</v>
      </c>
      <c r="L90" s="18">
        <f t="shared" si="24"/>
        <v>0.48491403659431692</v>
      </c>
      <c r="M90" s="18"/>
      <c r="N90" s="18"/>
    </row>
    <row r="91" spans="1:14">
      <c r="A91" s="13">
        <v>88</v>
      </c>
      <c r="B91">
        <v>44.5</v>
      </c>
      <c r="C91" s="5">
        <v>61009</v>
      </c>
      <c r="D91" s="18">
        <v>0.46277995896916652</v>
      </c>
      <c r="E91" s="18">
        <v>0.48128244372266532</v>
      </c>
      <c r="F91" s="18">
        <v>8.3491748309134205E-3</v>
      </c>
      <c r="G91" s="18">
        <v>0.51111111111111107</v>
      </c>
      <c r="H91" s="18">
        <v>0</v>
      </c>
      <c r="I91" s="18"/>
      <c r="J91" s="18"/>
      <c r="K91" s="18">
        <f t="shared" si="22"/>
        <v>0.52690185847182291</v>
      </c>
      <c r="L91" s="18">
        <f t="shared" si="24"/>
        <v>0.48285352867966336</v>
      </c>
      <c r="M91" s="18"/>
      <c r="N91" s="18"/>
    </row>
    <row r="92" spans="1:14">
      <c r="A92" s="13">
        <v>89</v>
      </c>
      <c r="B92">
        <v>45</v>
      </c>
      <c r="C92" s="5">
        <v>61190</v>
      </c>
      <c r="D92" s="18">
        <v>0.46002438942535051</v>
      </c>
      <c r="E92" s="18">
        <v>0.47928971420650379</v>
      </c>
      <c r="F92" s="18">
        <v>8.2694032527044995E-3</v>
      </c>
      <c r="G92" s="18">
        <v>0.50277777777777777</v>
      </c>
      <c r="H92" s="18">
        <v>0</v>
      </c>
      <c r="I92" s="18"/>
      <c r="J92" s="18"/>
      <c r="K92" s="18">
        <f t="shared" si="22"/>
        <v>0.5288144890828923</v>
      </c>
      <c r="L92" s="18">
        <f t="shared" si="24"/>
        <v>0.48085429415296799</v>
      </c>
      <c r="M92" s="18"/>
      <c r="N92" s="18"/>
    </row>
    <row r="93" spans="1:14">
      <c r="A93" s="13">
        <v>90</v>
      </c>
      <c r="B93">
        <v>45.5</v>
      </c>
      <c r="C93" s="5">
        <v>61374</v>
      </c>
      <c r="D93" s="18">
        <v>0.45726682763226401</v>
      </c>
      <c r="E93" s="18">
        <v>0.47728865240006779</v>
      </c>
      <c r="F93" s="18">
        <v>8.2028368073458306E-3</v>
      </c>
      <c r="G93" s="18">
        <v>0.51111111111111107</v>
      </c>
      <c r="H93" s="18">
        <v>0</v>
      </c>
      <c r="I93" s="18"/>
      <c r="J93" s="18"/>
      <c r="K93" s="18">
        <f t="shared" si="22"/>
        <v>0.53073160816695997</v>
      </c>
      <c r="L93" s="18">
        <f t="shared" si="24"/>
        <v>0.47884670013630254</v>
      </c>
      <c r="M93" s="18"/>
      <c r="N93" s="18"/>
    </row>
    <row r="94" spans="1:14">
      <c r="A94" s="13">
        <v>91</v>
      </c>
      <c r="B94">
        <v>46</v>
      </c>
      <c r="C94" s="5">
        <v>61556</v>
      </c>
      <c r="D94" s="18">
        <v>0.45458169239949059</v>
      </c>
      <c r="E94" s="18">
        <v>0.47533058089557279</v>
      </c>
      <c r="F94" s="18">
        <v>8.1482417208092097E-3</v>
      </c>
      <c r="G94" s="18">
        <v>0.50555555555555554</v>
      </c>
      <c r="H94" s="18">
        <v>0</v>
      </c>
      <c r="I94" s="18"/>
      <c r="J94" s="18"/>
      <c r="K94" s="18">
        <f t="shared" si="22"/>
        <v>0.53260420693112009</v>
      </c>
      <c r="L94" s="18">
        <f t="shared" si="24"/>
        <v>0.47688223675791813</v>
      </c>
      <c r="M94" s="18"/>
      <c r="N94" s="18"/>
    </row>
    <row r="95" spans="1:14">
      <c r="A95" s="13">
        <v>92</v>
      </c>
      <c r="B95">
        <v>46.5</v>
      </c>
      <c r="C95" s="5">
        <v>61742</v>
      </c>
      <c r="D95" s="18">
        <v>0.45188028198482799</v>
      </c>
      <c r="E95" s="18">
        <v>0.47334797928999178</v>
      </c>
      <c r="F95" s="18">
        <v>8.1067071119907304E-3</v>
      </c>
      <c r="G95" s="18">
        <v>0.51666666666666672</v>
      </c>
      <c r="H95" s="18">
        <v>0</v>
      </c>
      <c r="I95" s="18"/>
      <c r="J95" s="18"/>
      <c r="K95" s="18">
        <f t="shared" si="22"/>
        <v>0.53449689183058302</v>
      </c>
      <c r="L95" s="18">
        <f t="shared" si="24"/>
        <v>0.47489316320307151</v>
      </c>
      <c r="M95" s="18"/>
      <c r="N95" s="18"/>
    </row>
    <row r="96" spans="1:14">
      <c r="A96" s="13">
        <v>93</v>
      </c>
      <c r="B96">
        <v>47</v>
      </c>
      <c r="C96" s="5">
        <v>61921</v>
      </c>
      <c r="D96" s="18">
        <v>0.44932051302385029</v>
      </c>
      <c r="E96" s="18">
        <v>0.47145456425612797</v>
      </c>
      <c r="F96" s="18">
        <v>8.0772026974377208E-3</v>
      </c>
      <c r="G96" s="18">
        <v>0.49722222222222218</v>
      </c>
      <c r="H96" s="18">
        <v>0</v>
      </c>
      <c r="I96" s="18"/>
      <c r="J96" s="18"/>
      <c r="K96" s="18">
        <f t="shared" si="22"/>
        <v>0.53630143700254429</v>
      </c>
      <c r="L96" s="18">
        <f t="shared" si="24"/>
        <v>0.4729935432434027</v>
      </c>
      <c r="M96" s="18"/>
      <c r="N96" s="18"/>
    </row>
    <row r="97" spans="1:18">
      <c r="A97" s="13">
        <v>94</v>
      </c>
      <c r="B97">
        <v>47.5</v>
      </c>
      <c r="C97" s="5">
        <v>62106</v>
      </c>
      <c r="D97" s="18">
        <v>0.44671531179977891</v>
      </c>
      <c r="E97" s="18">
        <v>0.46950955127735849</v>
      </c>
      <c r="F97" s="18">
        <v>8.0613698071773897E-3</v>
      </c>
      <c r="G97" s="18">
        <v>0.51388888888888884</v>
      </c>
      <c r="H97" s="18">
        <v>0</v>
      </c>
      <c r="I97" s="18"/>
      <c r="J97" s="18"/>
      <c r="K97" s="18">
        <f t="shared" si="22"/>
        <v>0.53815202146222518</v>
      </c>
      <c r="L97" s="18">
        <f t="shared" si="24"/>
        <v>0.4710421811181168</v>
      </c>
      <c r="M97" s="18"/>
      <c r="N97" s="18"/>
    </row>
    <row r="98" spans="1:18">
      <c r="A98" s="13">
        <v>95</v>
      </c>
      <c r="B98">
        <v>48</v>
      </c>
      <c r="C98" s="5">
        <v>62288</v>
      </c>
      <c r="D98" s="18">
        <v>0.44419159681857179</v>
      </c>
      <c r="E98" s="18">
        <v>0.46760479806134042</v>
      </c>
      <c r="F98" s="18">
        <v>8.0573247742801099E-3</v>
      </c>
      <c r="G98" s="18">
        <v>0.50555555555555554</v>
      </c>
      <c r="H98" s="18">
        <v>0</v>
      </c>
      <c r="I98" s="18"/>
      <c r="J98" s="18"/>
      <c r="K98" s="18">
        <f t="shared" si="22"/>
        <v>0.5399614027518872</v>
      </c>
      <c r="L98" s="18">
        <f t="shared" si="24"/>
        <v>0.46913121017636722</v>
      </c>
      <c r="M98" s="18"/>
      <c r="N98" s="18"/>
      <c r="Q98" s="5">
        <v>59364</v>
      </c>
      <c r="R98" s="19">
        <f>M82</f>
        <v>0.502701176043445</v>
      </c>
    </row>
    <row r="99" spans="1:18">
      <c r="A99" s="13">
        <v>96</v>
      </c>
      <c r="B99">
        <v>48.5</v>
      </c>
      <c r="C99" s="5">
        <v>62470</v>
      </c>
      <c r="D99" s="18">
        <v>0.44170601590680081</v>
      </c>
      <c r="E99" s="18">
        <v>0.46570569634089187</v>
      </c>
      <c r="F99" s="18">
        <v>8.0664530618313798E-3</v>
      </c>
      <c r="G99" s="18">
        <v>0.50555555555555554</v>
      </c>
      <c r="H99" s="18">
        <v>0</v>
      </c>
      <c r="I99" s="18"/>
      <c r="J99" s="18"/>
      <c r="K99" s="18">
        <f t="shared" si="22"/>
        <v>0.54176269762324336</v>
      </c>
      <c r="L99" s="18">
        <f t="shared" si="24"/>
        <v>0.46722584441948456</v>
      </c>
      <c r="M99" s="18"/>
      <c r="N99" s="18"/>
      <c r="Q99" s="5">
        <v>66670</v>
      </c>
      <c r="R99" s="19">
        <f>M122</f>
        <v>0.423706144489227</v>
      </c>
    </row>
    <row r="100" spans="1:18">
      <c r="A100" s="13">
        <v>97</v>
      </c>
      <c r="B100">
        <v>49</v>
      </c>
      <c r="C100" s="5">
        <v>62652</v>
      </c>
      <c r="D100" s="18">
        <v>0.4392578039092318</v>
      </c>
      <c r="E100" s="18">
        <v>0.46380931440043982</v>
      </c>
      <c r="F100" s="18">
        <v>8.0875589180164006E-3</v>
      </c>
      <c r="G100" s="18">
        <v>0.50555555555555554</v>
      </c>
      <c r="H100" s="18">
        <v>0</v>
      </c>
      <c r="I100" s="18"/>
      <c r="J100" s="18"/>
      <c r="K100" s="18">
        <f t="shared" ref="K100:K122" si="25">K99+(F100*G100*D100)</f>
        <v>0.54355869554884118</v>
      </c>
      <c r="L100" s="18">
        <f t="shared" si="24"/>
        <v>0.46532327234353327</v>
      </c>
      <c r="M100" s="18"/>
      <c r="N100" s="18"/>
      <c r="R100" s="18"/>
    </row>
    <row r="101" spans="1:18">
      <c r="A101" s="13">
        <v>98</v>
      </c>
      <c r="B101">
        <v>49.5</v>
      </c>
      <c r="C101" s="5">
        <v>62835</v>
      </c>
      <c r="D101" s="18">
        <v>0.43683305994826649</v>
      </c>
      <c r="E101" s="18">
        <v>0.46190234191945129</v>
      </c>
      <c r="F101" s="18">
        <v>8.1218840242567106E-3</v>
      </c>
      <c r="G101" s="18">
        <v>0.5083333333333333</v>
      </c>
      <c r="H101" s="18">
        <v>0</v>
      </c>
      <c r="I101" s="18"/>
      <c r="J101" s="18"/>
      <c r="K101" s="18">
        <f t="shared" si="25"/>
        <v>0.54536221516969552</v>
      </c>
      <c r="L101" s="18">
        <f>(L102*(H102/100*J102-K101+D102))/D102</f>
        <v>0.46341002641102103</v>
      </c>
      <c r="M101" s="18"/>
      <c r="N101" s="18"/>
      <c r="Q101" s="5">
        <v>63017</v>
      </c>
      <c r="R101" s="18" cm="1">
        <f t="array" ref="R101">interpolate(Q98:Q99,R98:R99,Q101,"Natural Cubic Spline")</f>
        <v>0.46320366026633597</v>
      </c>
    </row>
    <row r="102" spans="1:18">
      <c r="A102" s="13">
        <v>99</v>
      </c>
      <c r="B102">
        <v>50</v>
      </c>
      <c r="C102" s="5">
        <v>63017</v>
      </c>
      <c r="D102" s="18">
        <v>0.43445754508781198</v>
      </c>
      <c r="E102" s="18">
        <v>0.46000277084258262</v>
      </c>
      <c r="F102" s="18">
        <v>8.1681971871145394E-3</v>
      </c>
      <c r="G102" s="18">
        <v>0.50555555555555554</v>
      </c>
      <c r="H102" s="18">
        <v>1.7006296329483583</v>
      </c>
      <c r="I102" s="18">
        <v>0.99722222222222223</v>
      </c>
      <c r="J102" s="18">
        <v>32.129337357042132</v>
      </c>
      <c r="K102" s="18">
        <f t="shared" si="25"/>
        <v>0.54715629781242514</v>
      </c>
      <c r="L102" s="18">
        <f t="shared" ref="L102:L120" si="26">L103*(1+F103*G103)</f>
        <v>0.46230462540166611</v>
      </c>
      <c r="M102" s="18"/>
      <c r="N102" s="18">
        <f>R101</f>
        <v>0.46320366026633597</v>
      </c>
      <c r="Q102" s="5">
        <v>66488</v>
      </c>
      <c r="R102" s="18" cm="1">
        <f t="array" ref="R102">interpolate(Q98:Q99,R98:R99,Q102,"Natural Cubic Spline")</f>
        <v>0.42567399225036406</v>
      </c>
    </row>
    <row r="103" spans="1:18">
      <c r="A103" s="13">
        <v>100</v>
      </c>
      <c r="B103">
        <v>50.5</v>
      </c>
      <c r="C103" s="5">
        <v>63201</v>
      </c>
      <c r="D103" s="18">
        <v>0.43209151992901568</v>
      </c>
      <c r="E103" s="18">
        <v>0.45807702898065161</v>
      </c>
      <c r="F103" s="18">
        <v>8.2251577321086899E-3</v>
      </c>
      <c r="G103" s="18">
        <v>0.51111111111111107</v>
      </c>
      <c r="H103" s="18">
        <v>0</v>
      </c>
      <c r="I103" s="18"/>
      <c r="J103" s="18"/>
      <c r="K103" s="18">
        <f t="shared" si="25"/>
        <v>0.5489727973866656</v>
      </c>
      <c r="L103" s="18">
        <f t="shared" si="26"/>
        <v>0.46036924712455352</v>
      </c>
      <c r="M103" s="18"/>
      <c r="N103" s="18"/>
    </row>
    <row r="104" spans="1:18">
      <c r="A104" s="13">
        <v>101</v>
      </c>
      <c r="B104">
        <v>51</v>
      </c>
      <c r="C104" s="5">
        <v>63382</v>
      </c>
      <c r="D104" s="18">
        <v>0.42979759775090948</v>
      </c>
      <c r="E104" s="18">
        <v>0.45617770642395977</v>
      </c>
      <c r="F104" s="18">
        <v>8.2811107833842199E-3</v>
      </c>
      <c r="G104" s="18">
        <v>0.50277777777777777</v>
      </c>
      <c r="H104" s="18">
        <v>0</v>
      </c>
      <c r="I104" s="18"/>
      <c r="J104" s="18"/>
      <c r="K104" s="18">
        <f t="shared" si="25"/>
        <v>0.55076228481826228</v>
      </c>
      <c r="L104" s="18">
        <f t="shared" si="26"/>
        <v>0.4584604203549234</v>
      </c>
      <c r="M104" s="18"/>
      <c r="N104" s="18"/>
    </row>
    <row r="105" spans="1:18">
      <c r="A105" s="13">
        <v>102</v>
      </c>
      <c r="B105">
        <v>51.5</v>
      </c>
      <c r="C105" s="5">
        <v>63566</v>
      </c>
      <c r="D105" s="18">
        <v>0.42749820729406318</v>
      </c>
      <c r="E105" s="18">
        <v>0.45424265881200709</v>
      </c>
      <c r="F105" s="18">
        <v>8.3346701275028908E-3</v>
      </c>
      <c r="G105" s="18">
        <v>0.51111111111111107</v>
      </c>
      <c r="H105" s="18">
        <v>0</v>
      </c>
      <c r="I105" s="18"/>
      <c r="J105" s="18"/>
      <c r="K105" s="18">
        <f t="shared" si="25"/>
        <v>0.55258340260429739</v>
      </c>
      <c r="L105" s="18">
        <f t="shared" si="26"/>
        <v>0.45651568976180201</v>
      </c>
      <c r="M105" s="18"/>
      <c r="N105" s="18"/>
    </row>
    <row r="106" spans="1:18">
      <c r="A106" s="13">
        <v>103</v>
      </c>
      <c r="B106">
        <v>52</v>
      </c>
      <c r="C106" s="5">
        <v>63747</v>
      </c>
      <c r="D106" s="18">
        <v>0.42526686220753063</v>
      </c>
      <c r="E106" s="18">
        <v>0.45233577293794869</v>
      </c>
      <c r="F106" s="18">
        <v>8.3847031627381999E-3</v>
      </c>
      <c r="G106" s="18">
        <v>0.50277777777777777</v>
      </c>
      <c r="H106" s="18">
        <v>0</v>
      </c>
      <c r="I106" s="18"/>
      <c r="J106" s="18"/>
      <c r="K106" s="18">
        <f t="shared" si="25"/>
        <v>0.55437617562992303</v>
      </c>
      <c r="L106" s="18">
        <f t="shared" si="26"/>
        <v>0.45459926182795385</v>
      </c>
      <c r="M106" s="18"/>
      <c r="N106" s="18"/>
    </row>
    <row r="107" spans="1:18">
      <c r="A107" s="13">
        <v>104</v>
      </c>
      <c r="B107">
        <v>52.5</v>
      </c>
      <c r="C107" s="5">
        <v>63933</v>
      </c>
      <c r="D107" s="18">
        <v>0.42300395048401113</v>
      </c>
      <c r="E107" s="18">
        <v>0.45037351900654238</v>
      </c>
      <c r="F107" s="18">
        <v>8.4328022734497608E-3</v>
      </c>
      <c r="G107" s="18">
        <v>0.51666666666666672</v>
      </c>
      <c r="H107" s="18">
        <v>0</v>
      </c>
      <c r="I107" s="18"/>
      <c r="J107" s="18"/>
      <c r="K107" s="18">
        <f t="shared" si="25"/>
        <v>0.55621918177883822</v>
      </c>
      <c r="L107" s="18">
        <f t="shared" si="26"/>
        <v>0.45262718877491526</v>
      </c>
      <c r="M107" s="18"/>
      <c r="N107" s="18"/>
    </row>
    <row r="108" spans="1:18">
      <c r="A108" s="13">
        <v>105</v>
      </c>
      <c r="B108">
        <v>53</v>
      </c>
      <c r="C108" s="5">
        <v>64112</v>
      </c>
      <c r="D108" s="18">
        <v>0.42085359185350152</v>
      </c>
      <c r="E108" s="18">
        <v>0.44848329287351291</v>
      </c>
      <c r="F108" s="18">
        <v>8.4771553101963201E-3</v>
      </c>
      <c r="G108" s="18">
        <v>0.49722222222222218</v>
      </c>
      <c r="H108" s="18">
        <v>0</v>
      </c>
      <c r="I108" s="18"/>
      <c r="J108" s="18"/>
      <c r="K108" s="18">
        <f t="shared" si="25"/>
        <v>0.55799309229472238</v>
      </c>
      <c r="L108" s="18">
        <f t="shared" si="26"/>
        <v>0.45072735943242931</v>
      </c>
      <c r="M108" s="18"/>
      <c r="N108" s="18"/>
    </row>
    <row r="109" spans="1:18">
      <c r="A109" s="13">
        <v>106</v>
      </c>
      <c r="B109">
        <v>53.5</v>
      </c>
      <c r="C109" s="5">
        <v>64297</v>
      </c>
      <c r="D109" s="18">
        <v>0.41865796586185228</v>
      </c>
      <c r="E109" s="18">
        <v>0.44652860355843721</v>
      </c>
      <c r="F109" s="18">
        <v>8.5184234961502292E-3</v>
      </c>
      <c r="G109" s="18">
        <v>0.51388888888888884</v>
      </c>
      <c r="H109" s="18">
        <v>0</v>
      </c>
      <c r="I109" s="18"/>
      <c r="J109" s="18"/>
      <c r="K109" s="18">
        <f t="shared" si="25"/>
        <v>0.55982577724708593</v>
      </c>
      <c r="L109" s="18">
        <f t="shared" si="26"/>
        <v>0.44876288947893361</v>
      </c>
      <c r="M109" s="18"/>
      <c r="N109" s="18"/>
    </row>
    <row r="110" spans="1:18">
      <c r="A110" s="13">
        <v>107</v>
      </c>
      <c r="B110">
        <v>54</v>
      </c>
      <c r="C110" s="5">
        <v>64479</v>
      </c>
      <c r="D110" s="18">
        <v>0.41652316909722831</v>
      </c>
      <c r="E110" s="18">
        <v>0.44460526621556679</v>
      </c>
      <c r="F110" s="18">
        <v>8.5568116809111999E-3</v>
      </c>
      <c r="G110" s="18">
        <v>0.50555555555555554</v>
      </c>
      <c r="H110" s="18">
        <v>0</v>
      </c>
      <c r="I110" s="18"/>
      <c r="J110" s="18"/>
      <c r="K110" s="18">
        <f t="shared" si="25"/>
        <v>0.56162763301931828</v>
      </c>
      <c r="L110" s="18">
        <f t="shared" si="26"/>
        <v>0.44682992837285679</v>
      </c>
      <c r="M110" s="18"/>
      <c r="N110" s="18"/>
    </row>
    <row r="111" spans="1:18">
      <c r="A111" s="13">
        <v>108</v>
      </c>
      <c r="B111">
        <v>54.5</v>
      </c>
      <c r="C111" s="5">
        <v>64662</v>
      </c>
      <c r="D111" s="18">
        <v>0.41440051403291073</v>
      </c>
      <c r="E111" s="18">
        <v>0.44267175799546321</v>
      </c>
      <c r="F111" s="18">
        <v>8.5926166609796902E-3</v>
      </c>
      <c r="G111" s="18">
        <v>0.5083333333333333</v>
      </c>
      <c r="H111" s="18">
        <v>0</v>
      </c>
      <c r="I111" s="18"/>
      <c r="J111" s="18"/>
      <c r="K111" s="18">
        <f t="shared" si="25"/>
        <v>0.56343769860626047</v>
      </c>
      <c r="L111" s="18">
        <f t="shared" si="26"/>
        <v>0.4448867017559307</v>
      </c>
      <c r="M111" s="18"/>
      <c r="N111" s="18"/>
    </row>
    <row r="112" spans="1:18">
      <c r="A112" s="13">
        <v>109</v>
      </c>
      <c r="B112">
        <v>55</v>
      </c>
      <c r="C112" s="5">
        <v>64843</v>
      </c>
      <c r="D112" s="18">
        <v>0.41232330304732701</v>
      </c>
      <c r="E112" s="18">
        <v>0.4407604879776853</v>
      </c>
      <c r="F112" s="18">
        <v>8.6246864987292293E-3</v>
      </c>
      <c r="G112" s="18">
        <v>0.50277777777777777</v>
      </c>
      <c r="H112" s="18">
        <v>0</v>
      </c>
      <c r="I112" s="18"/>
      <c r="J112" s="18"/>
      <c r="K112" s="18">
        <f t="shared" si="25"/>
        <v>0.56522565643878153</v>
      </c>
      <c r="L112" s="18">
        <f t="shared" si="26"/>
        <v>0.44296586854482961</v>
      </c>
      <c r="M112" s="18"/>
      <c r="N112" s="18"/>
    </row>
    <row r="113" spans="1:14">
      <c r="A113" s="13">
        <v>110</v>
      </c>
      <c r="B113">
        <v>55.5</v>
      </c>
      <c r="C113" s="5">
        <v>65027</v>
      </c>
      <c r="D113" s="18">
        <v>0.41023303462068861</v>
      </c>
      <c r="E113" s="18">
        <v>0.43881938792169117</v>
      </c>
      <c r="F113" s="18">
        <v>8.6545958585986602E-3</v>
      </c>
      <c r="G113" s="18">
        <v>0.51111111111111107</v>
      </c>
      <c r="H113" s="18">
        <v>0</v>
      </c>
      <c r="I113" s="18"/>
      <c r="J113" s="18"/>
      <c r="K113" s="18">
        <f t="shared" si="25"/>
        <v>0.56704030590138677</v>
      </c>
      <c r="L113" s="18">
        <f t="shared" si="26"/>
        <v>0.44101505603851576</v>
      </c>
      <c r="M113" s="18"/>
      <c r="N113" s="18"/>
    </row>
    <row r="114" spans="1:14">
      <c r="A114" s="13">
        <v>111</v>
      </c>
      <c r="B114">
        <v>56</v>
      </c>
      <c r="C114" s="5">
        <v>65208</v>
      </c>
      <c r="D114" s="18">
        <v>0.40819661459807471</v>
      </c>
      <c r="E114" s="18">
        <v>0.43691244865275902</v>
      </c>
      <c r="F114" s="18">
        <v>8.6809322952843097E-3</v>
      </c>
      <c r="G114" s="18">
        <v>0.50277777777777777</v>
      </c>
      <c r="H114" s="18">
        <v>0</v>
      </c>
      <c r="I114" s="18"/>
      <c r="J114" s="18"/>
      <c r="K114" s="18">
        <f t="shared" si="25"/>
        <v>0.56882191261967208</v>
      </c>
      <c r="L114" s="18">
        <f t="shared" si="26"/>
        <v>0.43909857524551066</v>
      </c>
      <c r="M114" s="18"/>
      <c r="N114" s="18"/>
    </row>
    <row r="115" spans="1:14">
      <c r="A115" s="13">
        <v>112</v>
      </c>
      <c r="B115">
        <v>56.5</v>
      </c>
      <c r="C115" s="5">
        <v>65392</v>
      </c>
      <c r="D115" s="18">
        <v>0.40614527843017612</v>
      </c>
      <c r="E115" s="18">
        <v>0.43497715428004807</v>
      </c>
      <c r="F115" s="18">
        <v>8.7049296142755594E-3</v>
      </c>
      <c r="G115" s="18">
        <v>0.51111111111111107</v>
      </c>
      <c r="H115" s="18">
        <v>0</v>
      </c>
      <c r="I115" s="18"/>
      <c r="J115" s="18"/>
      <c r="K115" s="18">
        <f t="shared" si="25"/>
        <v>0.57062892860686798</v>
      </c>
      <c r="L115" s="18">
        <f t="shared" si="26"/>
        <v>0.43715359747168347</v>
      </c>
      <c r="M115" s="18"/>
      <c r="N115" s="18"/>
    </row>
    <row r="116" spans="1:14">
      <c r="A116" s="13">
        <v>113</v>
      </c>
      <c r="B116">
        <v>57</v>
      </c>
      <c r="C116" s="5">
        <v>65573</v>
      </c>
      <c r="D116" s="18">
        <v>0.40414470883480152</v>
      </c>
      <c r="E116" s="18">
        <v>0.43307728307130727</v>
      </c>
      <c r="F116" s="18">
        <v>8.7253465216486307E-3</v>
      </c>
      <c r="G116" s="18">
        <v>0.50277777777777777</v>
      </c>
      <c r="H116" s="18">
        <v>0</v>
      </c>
      <c r="I116" s="18"/>
      <c r="J116" s="18"/>
      <c r="K116" s="18">
        <f t="shared" si="25"/>
        <v>0.57240187520668706</v>
      </c>
      <c r="L116" s="18">
        <f t="shared" si="26"/>
        <v>0.43524422010447766</v>
      </c>
      <c r="M116" s="18"/>
      <c r="N116" s="18"/>
    </row>
    <row r="117" spans="1:14">
      <c r="A117" s="13">
        <v>114</v>
      </c>
      <c r="B117">
        <v>57.5</v>
      </c>
      <c r="C117" s="5">
        <v>65757</v>
      </c>
      <c r="D117" s="18">
        <v>0.40212737607779281</v>
      </c>
      <c r="E117" s="18">
        <v>0.43115052977559809</v>
      </c>
      <c r="F117" s="18">
        <v>8.7434305391164303E-3</v>
      </c>
      <c r="G117" s="18">
        <v>0.51111111111111107</v>
      </c>
      <c r="H117" s="18">
        <v>0</v>
      </c>
      <c r="I117" s="18"/>
      <c r="J117" s="18"/>
      <c r="K117" s="18">
        <f t="shared" si="25"/>
        <v>0.57419892796122274</v>
      </c>
      <c r="L117" s="18">
        <f t="shared" si="26"/>
        <v>0.43330782614361829</v>
      </c>
      <c r="M117" s="18"/>
      <c r="N117" s="18"/>
    </row>
    <row r="118" spans="1:14">
      <c r="A118" s="13">
        <v>115</v>
      </c>
      <c r="B118">
        <v>58</v>
      </c>
      <c r="C118" s="5">
        <v>65939</v>
      </c>
      <c r="D118" s="18">
        <v>0.40014705654540328</v>
      </c>
      <c r="E118" s="18">
        <v>0.42924994370055652</v>
      </c>
      <c r="F118" s="18">
        <v>8.7580699374005203E-3</v>
      </c>
      <c r="G118" s="18">
        <v>0.50555555555555554</v>
      </c>
      <c r="H118" s="18">
        <v>0</v>
      </c>
      <c r="I118" s="18"/>
      <c r="J118" s="18"/>
      <c r="K118" s="18">
        <f t="shared" si="25"/>
        <v>0.57597065544727122</v>
      </c>
      <c r="L118" s="18">
        <f t="shared" si="26"/>
        <v>0.43139773033322065</v>
      </c>
      <c r="M118" s="18"/>
      <c r="N118" s="18"/>
    </row>
    <row r="119" spans="1:14">
      <c r="A119" s="13">
        <v>116</v>
      </c>
      <c r="B119">
        <v>58.5</v>
      </c>
      <c r="C119" s="5">
        <v>66124</v>
      </c>
      <c r="D119" s="18">
        <v>0.39814828570278787</v>
      </c>
      <c r="E119" s="18">
        <v>0.42732401412408821</v>
      </c>
      <c r="F119" s="18">
        <v>8.77028841729857E-3</v>
      </c>
      <c r="G119" s="18">
        <v>0.51388888888888884</v>
      </c>
      <c r="H119" s="18">
        <v>0</v>
      </c>
      <c r="I119" s="18"/>
      <c r="J119" s="18"/>
      <c r="K119" s="18">
        <f t="shared" si="25"/>
        <v>0.57776509136453869</v>
      </c>
      <c r="L119" s="18">
        <f t="shared" si="26"/>
        <v>0.42946216421314759</v>
      </c>
      <c r="M119" s="18"/>
      <c r="N119" s="18"/>
    </row>
    <row r="120" spans="1:14">
      <c r="A120" s="13">
        <v>117</v>
      </c>
      <c r="B120">
        <v>59</v>
      </c>
      <c r="C120" s="5">
        <v>66306</v>
      </c>
      <c r="D120" s="18">
        <v>0.39619474870736199</v>
      </c>
      <c r="E120" s="18">
        <v>0.42543583897085763</v>
      </c>
      <c r="F120" s="18">
        <v>8.7788841684794394E-3</v>
      </c>
      <c r="G120" s="18">
        <v>0.50555555555555554</v>
      </c>
      <c r="H120" s="18">
        <v>0</v>
      </c>
      <c r="I120" s="18"/>
      <c r="J120" s="18"/>
      <c r="K120" s="18">
        <f t="shared" si="25"/>
        <v>0.57952348831144218</v>
      </c>
      <c r="L120" s="18">
        <f t="shared" si="26"/>
        <v>0.42756454142360689</v>
      </c>
      <c r="M120" s="18"/>
      <c r="N120" s="18"/>
    </row>
    <row r="121" spans="1:14">
      <c r="A121" s="13">
        <v>118</v>
      </c>
      <c r="B121">
        <v>59.5</v>
      </c>
      <c r="C121" s="5">
        <v>66488</v>
      </c>
      <c r="D121" s="18">
        <v>0.39425281878583501</v>
      </c>
      <c r="E121" s="18">
        <v>0.4235547524322909</v>
      </c>
      <c r="F121" s="18">
        <v>8.7850042128156895E-3</v>
      </c>
      <c r="G121" s="18">
        <v>0.50555555555555554</v>
      </c>
      <c r="H121" s="18">
        <v>0</v>
      </c>
      <c r="I121" s="18"/>
      <c r="J121" s="18"/>
      <c r="K121" s="18">
        <f t="shared" si="25"/>
        <v>0.58127448638549373</v>
      </c>
      <c r="L121" s="18">
        <f>(L122*(H122/100*J122-K121+D122))/D122</f>
        <v>0.42567399225036406</v>
      </c>
      <c r="M121" s="18"/>
      <c r="N121" s="18"/>
    </row>
    <row r="122" spans="1:14">
      <c r="A122" s="13">
        <v>119</v>
      </c>
      <c r="B122">
        <v>60</v>
      </c>
      <c r="C122" s="5">
        <v>66670</v>
      </c>
      <c r="D122" s="18">
        <v>0.39232141315840419</v>
      </c>
      <c r="E122" s="18">
        <v>0.42168135874896218</v>
      </c>
      <c r="F122" s="18">
        <v>8.7877109154303693E-3</v>
      </c>
      <c r="G122" s="18">
        <v>0.50555555555555554</v>
      </c>
      <c r="H122" s="18">
        <v>1.6091535507239547</v>
      </c>
      <c r="I122" s="18">
        <v>0.99722222222222223</v>
      </c>
      <c r="J122" s="18">
        <v>36.236229389371289</v>
      </c>
      <c r="K122" s="18">
        <f t="shared" si="25"/>
        <v>0.58301744334101591</v>
      </c>
      <c r="L122" s="19">
        <f>(D122*R102)/(H122/100*J122-K121+D122)</f>
        <v>0.42370614448922711</v>
      </c>
      <c r="M122" s="19">
        <v>0.423706144489227</v>
      </c>
      <c r="N122" s="18">
        <f>L122</f>
        <v>0.42370614448922711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D3E77-5B3D-4094-8995-4CC2D54C158C}">
  <sheetPr codeName="Sheet8"/>
  <dimension ref="A1:R122"/>
  <sheetViews>
    <sheetView topLeftCell="B1" zoomScaleNormal="100" workbookViewId="0">
      <pane ySplit="1" topLeftCell="A96" activePane="bottomLeft" state="frozen"/>
      <selection pane="bottomLeft" activeCell="H121" sqref="H121"/>
    </sheetView>
  </sheetViews>
  <sheetFormatPr defaultRowHeight="14.4"/>
  <cols>
    <col min="2" max="3" width="10.77734375" bestFit="1" customWidth="1"/>
    <col min="14" max="14" width="10.5546875" bestFit="1" customWidth="1"/>
    <col min="17" max="17" width="10.5546875" bestFit="1" customWidth="1"/>
  </cols>
  <sheetData>
    <row r="1" spans="1:14">
      <c r="B1" s="1" t="s">
        <v>0</v>
      </c>
      <c r="C1" s="1" t="s">
        <v>1</v>
      </c>
      <c r="D1" s="1" t="s">
        <v>2</v>
      </c>
      <c r="E1" s="1" t="s">
        <v>3</v>
      </c>
      <c r="F1" s="1" t="s">
        <v>23</v>
      </c>
      <c r="G1" s="1" t="s">
        <v>4</v>
      </c>
      <c r="H1" s="1" t="s">
        <v>22</v>
      </c>
      <c r="I1" s="2" t="s">
        <v>5</v>
      </c>
      <c r="J1" s="2" t="s">
        <v>6</v>
      </c>
      <c r="K1" s="2" t="s">
        <v>7</v>
      </c>
      <c r="L1" s="12" t="s">
        <v>19</v>
      </c>
      <c r="N1" s="23" t="s">
        <v>20</v>
      </c>
    </row>
    <row r="2" spans="1:14">
      <c r="B2">
        <v>0</v>
      </c>
      <c r="C2" s="5">
        <v>44754</v>
      </c>
      <c r="E2">
        <v>1</v>
      </c>
      <c r="F2">
        <v>0</v>
      </c>
      <c r="G2">
        <v>0</v>
      </c>
      <c r="H2">
        <v>0</v>
      </c>
      <c r="L2">
        <f>L3*(1+H3/100*G3)</f>
        <v>0.99999999986517307</v>
      </c>
    </row>
    <row r="3" spans="1:14">
      <c r="A3" s="13">
        <v>0</v>
      </c>
      <c r="B3">
        <v>0.5</v>
      </c>
      <c r="C3" s="5">
        <v>44938</v>
      </c>
      <c r="D3" s="18">
        <v>0.99904288423151055</v>
      </c>
      <c r="E3" s="18">
        <v>0.99801063213993446</v>
      </c>
      <c r="F3" s="18">
        <v>3.89999999999991E-3</v>
      </c>
      <c r="G3" s="18">
        <v>0.51111111111111107</v>
      </c>
      <c r="H3" s="18">
        <v>0.38999924817472209</v>
      </c>
      <c r="I3" s="18"/>
      <c r="J3" s="18"/>
      <c r="K3" s="18">
        <f>F3*G3*D3</f>
        <v>1.9914254825680981E-3</v>
      </c>
      <c r="L3" s="18">
        <f>L4*(1+H4/100*G4)</f>
        <v>0.99801063583276439</v>
      </c>
      <c r="M3" s="18"/>
      <c r="N3" s="18">
        <f t="shared" ref="N3:N5" si="0">L3</f>
        <v>0.99801063583276439</v>
      </c>
    </row>
    <row r="4" spans="1:14">
      <c r="A4" s="13">
        <v>1</v>
      </c>
      <c r="B4">
        <v>1</v>
      </c>
      <c r="C4" s="5">
        <v>45119</v>
      </c>
      <c r="D4" s="18">
        <v>0.99324592130854139</v>
      </c>
      <c r="E4" s="18">
        <v>0.99104474380986662</v>
      </c>
      <c r="F4" s="18">
        <v>1.3979999999904E-2</v>
      </c>
      <c r="G4" s="18">
        <v>0.50277777777777777</v>
      </c>
      <c r="H4" s="18">
        <v>1.3979905444727085</v>
      </c>
      <c r="I4" s="18">
        <v>1</v>
      </c>
      <c r="J4" s="18">
        <v>0.99324592130854139</v>
      </c>
      <c r="K4" s="18">
        <f t="shared" ref="K4:K35" si="1">K3+(F4*G4*D4)</f>
        <v>8.9727855224110108E-3</v>
      </c>
      <c r="L4" s="18">
        <f>L5*(1+H5/100*G5)</f>
        <v>0.99104479426258196</v>
      </c>
      <c r="M4" s="18"/>
      <c r="N4" s="18">
        <f t="shared" si="0"/>
        <v>0.99104479426258196</v>
      </c>
    </row>
    <row r="5" spans="1:14">
      <c r="A5" s="13">
        <v>2</v>
      </c>
      <c r="B5">
        <v>1.5</v>
      </c>
      <c r="C5" s="5">
        <v>45303</v>
      </c>
      <c r="D5" s="18">
        <v>0.9860284425870447</v>
      </c>
      <c r="E5" s="18">
        <v>0.98259746260138792</v>
      </c>
      <c r="F5" s="18">
        <v>1.6819999999980999E-2</v>
      </c>
      <c r="G5" s="18">
        <v>0.51111111111111107</v>
      </c>
      <c r="H5" s="18">
        <v>1.6819861072920532</v>
      </c>
      <c r="I5" s="18"/>
      <c r="J5" s="18"/>
      <c r="K5" s="18">
        <f t="shared" si="1"/>
        <v>1.7449562484606416E-2</v>
      </c>
      <c r="L5" s="18">
        <f>(L6*(H6/100*J6-K5+D6)/D6)</f>
        <v>0.9825975818008269</v>
      </c>
      <c r="M5" s="18"/>
      <c r="N5" s="18">
        <f t="shared" si="0"/>
        <v>0.9825975818008269</v>
      </c>
    </row>
    <row r="6" spans="1:14">
      <c r="A6" s="13">
        <v>3</v>
      </c>
      <c r="B6">
        <v>2</v>
      </c>
      <c r="C6" s="5">
        <v>45485</v>
      </c>
      <c r="D6" s="18">
        <v>0.97878176388692029</v>
      </c>
      <c r="E6" s="18">
        <v>0.97444692296927427</v>
      </c>
      <c r="F6" s="18">
        <v>1.6544714899334002E-2</v>
      </c>
      <c r="G6" s="18">
        <v>0.50555555555555554</v>
      </c>
      <c r="H6" s="18">
        <v>1.2999672784637837</v>
      </c>
      <c r="I6" s="18">
        <v>1</v>
      </c>
      <c r="J6" s="18">
        <v>1.9720276851954619</v>
      </c>
      <c r="K6" s="18">
        <f t="shared" si="1"/>
        <v>2.5636359907540013E-2</v>
      </c>
      <c r="L6" s="18">
        <f>L7*(1+F7*G7)</f>
        <v>0.97444767827159473</v>
      </c>
      <c r="M6" s="18"/>
      <c r="N6" s="18">
        <f>L6</f>
        <v>0.97444767827159473</v>
      </c>
    </row>
    <row r="7" spans="1:14">
      <c r="A7" s="13">
        <v>4</v>
      </c>
      <c r="B7">
        <v>2.5</v>
      </c>
      <c r="C7" s="5">
        <v>45670</v>
      </c>
      <c r="D7" s="18">
        <v>0.9715063307647499</v>
      </c>
      <c r="E7" s="18">
        <v>0.96605078949251333</v>
      </c>
      <c r="F7" s="18">
        <v>1.69125910132602E-2</v>
      </c>
      <c r="G7" s="18">
        <v>0.51388888888888884</v>
      </c>
      <c r="H7" s="18">
        <v>0</v>
      </c>
      <c r="I7" s="18"/>
      <c r="J7" s="18"/>
      <c r="K7" s="18">
        <f t="shared" si="1"/>
        <v>3.4079908544257236E-2</v>
      </c>
      <c r="L7" s="18">
        <f>(L8*(H8/100*J8-K7+D8)/D8)</f>
        <v>0.96605153828691737</v>
      </c>
      <c r="M7" s="18"/>
      <c r="N7" s="18"/>
    </row>
    <row r="8" spans="1:14">
      <c r="A8" s="13">
        <v>5</v>
      </c>
      <c r="B8">
        <v>3</v>
      </c>
      <c r="C8" s="5">
        <v>45852</v>
      </c>
      <c r="D8" s="18">
        <v>0.96404622206233692</v>
      </c>
      <c r="E8" s="18">
        <v>0.95729638500968794</v>
      </c>
      <c r="F8" s="18">
        <v>1.8088864371244101E-2</v>
      </c>
      <c r="G8" s="18">
        <v>0.50555555555555554</v>
      </c>
      <c r="H8" s="18">
        <v>1.4609374668917545</v>
      </c>
      <c r="I8" s="18">
        <v>1.005555555555556</v>
      </c>
      <c r="J8" s="18">
        <v>2.9414297196025889</v>
      </c>
      <c r="K8" s="18">
        <f t="shared" si="1"/>
        <v>4.2896039786607928E-2</v>
      </c>
      <c r="L8" s="18">
        <f>L9*(1+F9*G9)</f>
        <v>0.95722194637375746</v>
      </c>
      <c r="M8" s="18"/>
      <c r="N8" s="18">
        <f t="shared" ref="N8" si="2">L8</f>
        <v>0.95722194637375746</v>
      </c>
    </row>
    <row r="9" spans="1:14">
      <c r="A9" s="13">
        <v>6</v>
      </c>
      <c r="B9">
        <v>3.5</v>
      </c>
      <c r="C9" s="5">
        <v>46034</v>
      </c>
      <c r="D9" s="18">
        <v>0.95592389246503651</v>
      </c>
      <c r="E9" s="18">
        <v>0.94796491452005915</v>
      </c>
      <c r="F9" s="18">
        <v>1.9479741902559099E-2</v>
      </c>
      <c r="G9" s="18">
        <v>0.50555555555555554</v>
      </c>
      <c r="H9" s="18">
        <v>0</v>
      </c>
      <c r="I9" s="18"/>
      <c r="J9" s="18"/>
      <c r="K9" s="18">
        <f t="shared" si="1"/>
        <v>5.2310065975705033E-2</v>
      </c>
      <c r="L9" s="18">
        <f>(L10*(H10/100*J10-K9+D10)/D10)</f>
        <v>0.94788706757348762</v>
      </c>
      <c r="M9" s="18"/>
      <c r="N9" s="18"/>
    </row>
    <row r="10" spans="1:14">
      <c r="A10" s="13">
        <v>7</v>
      </c>
      <c r="B10">
        <v>4</v>
      </c>
      <c r="C10" s="5">
        <v>46216</v>
      </c>
      <c r="D10" s="18">
        <v>0.94713494159022615</v>
      </c>
      <c r="E10" s="18">
        <v>0.93807952562658103</v>
      </c>
      <c r="F10" s="18">
        <v>2.0844199194661701E-2</v>
      </c>
      <c r="G10" s="18">
        <v>0.50555555555555554</v>
      </c>
      <c r="H10" s="18">
        <v>1.6038987816189016</v>
      </c>
      <c r="I10" s="18">
        <v>0.99722222222222223</v>
      </c>
      <c r="J10" s="18">
        <v>3.885933730799509</v>
      </c>
      <c r="K10" s="18">
        <f t="shared" si="1"/>
        <v>6.2290879943441235E-2</v>
      </c>
      <c r="L10" s="18">
        <f>L11*(1+F11*G11)</f>
        <v>0.93796763814146766</v>
      </c>
      <c r="M10" s="18"/>
      <c r="N10" s="18">
        <f t="shared" ref="N10" si="3">L10</f>
        <v>0.93796763814146766</v>
      </c>
    </row>
    <row r="11" spans="1:14">
      <c r="A11" s="13">
        <v>8</v>
      </c>
      <c r="B11">
        <v>4.5</v>
      </c>
      <c r="C11" s="5">
        <v>46399</v>
      </c>
      <c r="D11" s="18">
        <v>0.9377546742182391</v>
      </c>
      <c r="E11" s="18">
        <v>0.92766793341618325</v>
      </c>
      <c r="F11" s="18">
        <v>2.2082122249332401E-2</v>
      </c>
      <c r="G11" s="18">
        <v>0.5083333333333333</v>
      </c>
      <c r="H11" s="18">
        <v>0</v>
      </c>
      <c r="I11" s="18"/>
      <c r="J11" s="18"/>
      <c r="K11" s="18">
        <f t="shared" si="1"/>
        <v>7.2817250066059339E-2</v>
      </c>
      <c r="L11" s="18">
        <f>(L12*(H12/100*J12-K11+D12)/D12)</f>
        <v>0.92755575172758498</v>
      </c>
      <c r="M11" s="18"/>
      <c r="N11" s="18"/>
    </row>
    <row r="12" spans="1:14">
      <c r="A12" s="13">
        <v>9</v>
      </c>
      <c r="B12">
        <v>5</v>
      </c>
      <c r="C12" s="5">
        <v>46580</v>
      </c>
      <c r="D12" s="18">
        <v>0.92824283734542401</v>
      </c>
      <c r="E12" s="18">
        <v>0.91712844122432902</v>
      </c>
      <c r="F12" s="18">
        <v>2.2856695926326401E-2</v>
      </c>
      <c r="G12" s="18">
        <v>0.50277777777777777</v>
      </c>
      <c r="H12" s="18">
        <v>1.7348505128586658</v>
      </c>
      <c r="I12" s="18">
        <v>0.99722222222222223</v>
      </c>
      <c r="J12" s="18">
        <v>4.811598115818974</v>
      </c>
      <c r="K12" s="18">
        <f t="shared" si="1"/>
        <v>8.3484467106331728E-2</v>
      </c>
      <c r="L12" s="18">
        <f>L13*(1+F13*G13)</f>
        <v>0.91702772343901273</v>
      </c>
      <c r="M12" s="18"/>
      <c r="N12" s="18">
        <f t="shared" ref="N12" si="4">L12</f>
        <v>0.91702772343901273</v>
      </c>
    </row>
    <row r="13" spans="1:14">
      <c r="A13" s="13">
        <v>10</v>
      </c>
      <c r="B13">
        <v>5.5</v>
      </c>
      <c r="C13" s="5">
        <v>46764</v>
      </c>
      <c r="D13" s="18">
        <v>0.9185963965955859</v>
      </c>
      <c r="E13" s="18">
        <v>0.90637502877283138</v>
      </c>
      <c r="F13" s="18">
        <v>2.3212560544255901E-2</v>
      </c>
      <c r="G13" s="18">
        <v>0.51111111111111107</v>
      </c>
      <c r="H13" s="18">
        <v>0</v>
      </c>
      <c r="I13" s="18"/>
      <c r="J13" s="18"/>
      <c r="K13" s="18">
        <f t="shared" si="1"/>
        <v>9.438287628076146E-2</v>
      </c>
      <c r="L13" s="18">
        <f>(L14*(H14/100*J14-K13+D14)/D14)</f>
        <v>0.90627549191249568</v>
      </c>
      <c r="M13" s="18"/>
      <c r="N13" s="18"/>
    </row>
    <row r="14" spans="1:14">
      <c r="A14" s="13">
        <v>11</v>
      </c>
      <c r="B14">
        <v>6</v>
      </c>
      <c r="C14" s="5">
        <v>46946</v>
      </c>
      <c r="D14" s="18">
        <v>0.90901718303320767</v>
      </c>
      <c r="E14" s="18">
        <v>0.89571111788568369</v>
      </c>
      <c r="F14" s="18">
        <v>2.3549389624901301E-2</v>
      </c>
      <c r="G14" s="18">
        <v>0.50555555555555554</v>
      </c>
      <c r="H14" s="18">
        <v>1.8387961859354021</v>
      </c>
      <c r="I14" s="18">
        <v>1</v>
      </c>
      <c r="J14" s="18">
        <v>5.7206152988521817</v>
      </c>
      <c r="K14" s="18">
        <f t="shared" si="1"/>
        <v>0.10520520285591206</v>
      </c>
      <c r="L14" s="18">
        <f>L15*(1+F15*G15)</f>
        <v>0.89562711087517399</v>
      </c>
      <c r="M14" s="18"/>
      <c r="N14" s="18">
        <f t="shared" ref="N14" si="5">L14</f>
        <v>0.89562711087517399</v>
      </c>
    </row>
    <row r="15" spans="1:14">
      <c r="A15" s="13">
        <v>12</v>
      </c>
      <c r="B15">
        <v>6.5</v>
      </c>
      <c r="C15" s="5">
        <v>47130</v>
      </c>
      <c r="D15" s="18">
        <v>0.89917826917514665</v>
      </c>
      <c r="E15" s="18">
        <v>0.88485868785708344</v>
      </c>
      <c r="F15" s="18">
        <v>2.39959391987998E-2</v>
      </c>
      <c r="G15" s="18">
        <v>0.51111111111111107</v>
      </c>
      <c r="H15" s="18">
        <v>0</v>
      </c>
      <c r="I15" s="18"/>
      <c r="J15" s="18"/>
      <c r="K15" s="18">
        <f t="shared" si="1"/>
        <v>0.11623325669476103</v>
      </c>
      <c r="L15" s="18">
        <f>(L16*(H16/100*J16-K15+D16)/D16)</f>
        <v>0.88477569867496197</v>
      </c>
      <c r="M15" s="18"/>
      <c r="N15" s="18"/>
    </row>
    <row r="16" spans="1:14">
      <c r="A16" s="13">
        <v>13</v>
      </c>
      <c r="B16">
        <v>7</v>
      </c>
      <c r="C16" s="5">
        <v>47311</v>
      </c>
      <c r="D16" s="18">
        <v>0.8893123052047649</v>
      </c>
      <c r="E16" s="18">
        <v>0.8740370041426615</v>
      </c>
      <c r="F16" s="18">
        <v>2.4625720319847801E-2</v>
      </c>
      <c r="G16" s="18">
        <v>0.50277777777777777</v>
      </c>
      <c r="H16" s="18">
        <v>1.9247363666012198</v>
      </c>
      <c r="I16" s="18">
        <v>1</v>
      </c>
      <c r="J16" s="18">
        <v>6.6099276040569466</v>
      </c>
      <c r="K16" s="18">
        <f t="shared" si="1"/>
        <v>0.12724406795864956</v>
      </c>
      <c r="L16" s="18">
        <f>L17*(1+F17*G17)</f>
        <v>0.87397482081308664</v>
      </c>
      <c r="M16" s="18"/>
      <c r="N16" s="18">
        <f t="shared" ref="N16" si="6">L16</f>
        <v>0.87397482081308664</v>
      </c>
    </row>
    <row r="17" spans="1:14">
      <c r="A17" s="13">
        <v>14</v>
      </c>
      <c r="B17">
        <v>7.5</v>
      </c>
      <c r="C17" s="5">
        <v>47497</v>
      </c>
      <c r="D17" s="18">
        <v>0.87897161571716564</v>
      </c>
      <c r="E17" s="18">
        <v>0.86271292715050496</v>
      </c>
      <c r="F17" s="18">
        <v>2.5405401590895899E-2</v>
      </c>
      <c r="G17" s="18">
        <v>0.51666666666666672</v>
      </c>
      <c r="H17" s="18">
        <v>0</v>
      </c>
      <c r="I17" s="18"/>
      <c r="J17" s="18"/>
      <c r="K17" s="18">
        <f t="shared" si="1"/>
        <v>0.13878155851553439</v>
      </c>
      <c r="L17" s="18">
        <f>(L18*(H18/100*J18-K17+D18)/D18)</f>
        <v>0.86265154947195899</v>
      </c>
      <c r="M17" s="18"/>
      <c r="N17" s="18"/>
    </row>
    <row r="18" spans="1:14">
      <c r="A18" s="13">
        <v>15</v>
      </c>
      <c r="B18">
        <v>8</v>
      </c>
      <c r="C18" s="5">
        <v>47676</v>
      </c>
      <c r="D18" s="18">
        <v>0.86884980767765363</v>
      </c>
      <c r="E18" s="18">
        <v>0.85168947472002765</v>
      </c>
      <c r="F18" s="18">
        <v>2.6037552195365E-2</v>
      </c>
      <c r="G18" s="18">
        <v>0.49722222222222218</v>
      </c>
      <c r="H18" s="18">
        <v>2.0056686367948608</v>
      </c>
      <c r="I18" s="18">
        <v>1</v>
      </c>
      <c r="J18" s="18">
        <v>7.4787774117346002</v>
      </c>
      <c r="K18" s="18">
        <f t="shared" si="1"/>
        <v>0.15003007872915611</v>
      </c>
      <c r="L18" s="18">
        <f>L19*(1+F19*G19)</f>
        <v>0.85165561351196861</v>
      </c>
      <c r="M18" s="18"/>
      <c r="N18" s="18">
        <f t="shared" ref="N18" si="7">L18</f>
        <v>0.85165561351196861</v>
      </c>
    </row>
    <row r="19" spans="1:14">
      <c r="A19" s="13">
        <v>16</v>
      </c>
      <c r="B19">
        <v>8.5</v>
      </c>
      <c r="C19" s="5">
        <v>47861</v>
      </c>
      <c r="D19" s="18">
        <v>0.85822803261302394</v>
      </c>
      <c r="E19" s="18">
        <v>0.84022535250532049</v>
      </c>
      <c r="F19" s="18">
        <v>2.6550689146691599E-2</v>
      </c>
      <c r="G19" s="18">
        <v>0.51388888888888884</v>
      </c>
      <c r="H19" s="18">
        <v>0</v>
      </c>
      <c r="I19" s="18"/>
      <c r="J19" s="18"/>
      <c r="K19" s="18">
        <f t="shared" si="1"/>
        <v>0.16173983138613873</v>
      </c>
      <c r="L19" s="18">
        <f>(L20*(H20/100*J20-K19+D20)/D20)</f>
        <v>0.84019194708430489</v>
      </c>
      <c r="M19" s="18"/>
      <c r="N19" s="18"/>
    </row>
    <row r="20" spans="1:14">
      <c r="A20" s="13">
        <v>17</v>
      </c>
      <c r="B20">
        <v>9</v>
      </c>
      <c r="C20" s="5">
        <v>48043</v>
      </c>
      <c r="D20" s="18">
        <v>0.84757139217307043</v>
      </c>
      <c r="E20" s="18">
        <v>0.82878111312407454</v>
      </c>
      <c r="F20" s="18">
        <v>2.73135531920118E-2</v>
      </c>
      <c r="G20" s="18">
        <v>0.50555555555555554</v>
      </c>
      <c r="H20" s="18">
        <v>2.0825923935075896</v>
      </c>
      <c r="I20" s="18">
        <v>1.005555555555556</v>
      </c>
      <c r="J20" s="18">
        <v>8.3310575338641879</v>
      </c>
      <c r="K20" s="18">
        <f t="shared" si="1"/>
        <v>0.1734435366843462</v>
      </c>
      <c r="L20" s="18">
        <f>L21*(1+F21*G21)</f>
        <v>0.82869180865921621</v>
      </c>
      <c r="M20" s="18"/>
      <c r="N20" s="18">
        <f t="shared" ref="N20" si="8">L20</f>
        <v>0.82869180865921621</v>
      </c>
    </row>
    <row r="21" spans="1:14">
      <c r="A21" s="13">
        <v>18</v>
      </c>
      <c r="B21">
        <v>9.5</v>
      </c>
      <c r="C21" s="5">
        <v>48225</v>
      </c>
      <c r="D21" s="18">
        <v>0.83669069416023167</v>
      </c>
      <c r="E21" s="18">
        <v>0.81711882271219038</v>
      </c>
      <c r="F21" s="18">
        <v>2.8236771671545199E-2</v>
      </c>
      <c r="G21" s="18">
        <v>0.50555555555555554</v>
      </c>
      <c r="H21" s="18">
        <v>0</v>
      </c>
      <c r="I21" s="18"/>
      <c r="J21" s="18"/>
      <c r="K21" s="18">
        <f t="shared" si="1"/>
        <v>0.18538751119687136</v>
      </c>
      <c r="L21" s="18">
        <f>(L22*(H22/100*J22-K21+D22)/D22)</f>
        <v>0.81702851677786503</v>
      </c>
      <c r="M21" s="18"/>
      <c r="N21" s="18"/>
    </row>
    <row r="22" spans="1:14">
      <c r="A22" s="13">
        <v>19</v>
      </c>
      <c r="B22">
        <v>10</v>
      </c>
      <c r="C22" s="5">
        <v>48407</v>
      </c>
      <c r="D22" s="18">
        <v>0.8257303052243582</v>
      </c>
      <c r="E22" s="18">
        <v>0.80547248666946025</v>
      </c>
      <c r="F22" s="18">
        <v>2.8600242760871801E-2</v>
      </c>
      <c r="G22" s="18">
        <v>0.50555555555555554</v>
      </c>
      <c r="H22" s="18">
        <v>2.15550785182237</v>
      </c>
      <c r="I22" s="18">
        <v>0.99444444444444446</v>
      </c>
      <c r="J22" s="18">
        <v>9.152200448503967</v>
      </c>
      <c r="K22" s="18">
        <f t="shared" si="1"/>
        <v>0.19732675527344198</v>
      </c>
      <c r="L22" s="18">
        <f>L23*(1+F23*G23)</f>
        <v>0.80543188590319259</v>
      </c>
      <c r="M22" s="18"/>
      <c r="N22" s="18">
        <f t="shared" ref="N22" si="9">L22</f>
        <v>0.80543188590319259</v>
      </c>
    </row>
    <row r="23" spans="1:14">
      <c r="A23" s="13">
        <v>20</v>
      </c>
      <c r="B23">
        <v>10.5</v>
      </c>
      <c r="C23" s="5">
        <v>48591</v>
      </c>
      <c r="D23" s="18">
        <v>0.8146912703004634</v>
      </c>
      <c r="E23" s="18">
        <v>0.79392771566848708</v>
      </c>
      <c r="F23" s="18">
        <v>2.8450443271989499E-2</v>
      </c>
      <c r="G23" s="18">
        <v>0.51111111111111107</v>
      </c>
      <c r="H23" s="18">
        <v>0</v>
      </c>
      <c r="I23" s="18"/>
      <c r="J23" s="18"/>
      <c r="K23" s="18">
        <f t="shared" si="1"/>
        <v>0.20917345613359695</v>
      </c>
      <c r="L23" s="18">
        <f>(L24*(H24/100*J24-K23+D24)/D24)</f>
        <v>0.79388769682966798</v>
      </c>
      <c r="M23" s="18"/>
      <c r="N23" s="18"/>
    </row>
    <row r="24" spans="1:14">
      <c r="A24" s="13">
        <v>21</v>
      </c>
      <c r="B24">
        <v>11</v>
      </c>
      <c r="C24" s="5">
        <v>48772</v>
      </c>
      <c r="D24" s="18">
        <v>0.8037668893231964</v>
      </c>
      <c r="E24" s="18">
        <v>0.78267545028228147</v>
      </c>
      <c r="F24" s="18">
        <v>2.8594478516200401E-2</v>
      </c>
      <c r="G24" s="18">
        <v>0.50277777777777777</v>
      </c>
      <c r="H24" s="18">
        <v>2.2164183886893407</v>
      </c>
      <c r="I24" s="18">
        <v>1</v>
      </c>
      <c r="J24" s="18">
        <v>9.9559673378271629</v>
      </c>
      <c r="K24" s="18">
        <f t="shared" si="1"/>
        <v>0.22072894614423624</v>
      </c>
      <c r="L24" s="18">
        <f>L25*(1+F25*G25)</f>
        <v>0.7826965307098982</v>
      </c>
      <c r="M24" s="18"/>
      <c r="N24" s="18">
        <f t="shared" ref="N24" si="10">L24</f>
        <v>0.7826965307098982</v>
      </c>
    </row>
    <row r="25" spans="1:14">
      <c r="A25" s="13">
        <v>22</v>
      </c>
      <c r="B25">
        <v>11.5</v>
      </c>
      <c r="C25" s="5">
        <v>48956</v>
      </c>
      <c r="D25" s="18">
        <v>0.79251290448087985</v>
      </c>
      <c r="E25" s="18">
        <v>0.77121663179798594</v>
      </c>
      <c r="F25" s="18">
        <v>2.90702074422408E-2</v>
      </c>
      <c r="G25" s="18">
        <v>0.51111111111111107</v>
      </c>
      <c r="H25" s="18">
        <v>0</v>
      </c>
      <c r="I25" s="18"/>
      <c r="J25" s="18"/>
      <c r="K25" s="18">
        <f t="shared" si="1"/>
        <v>0.23250418690601346</v>
      </c>
      <c r="L25" s="18">
        <f>(L26*(H26/100*J26-K25+D26)/D26)</f>
        <v>0.77123740359602511</v>
      </c>
      <c r="M25" s="18"/>
      <c r="N25" s="18"/>
    </row>
    <row r="26" spans="1:14">
      <c r="A26" s="13">
        <v>23</v>
      </c>
      <c r="B26">
        <v>12</v>
      </c>
      <c r="C26" s="5">
        <v>49137</v>
      </c>
      <c r="D26" s="18">
        <v>0.78150798192835358</v>
      </c>
      <c r="E26" s="18">
        <v>0.76007457235941267</v>
      </c>
      <c r="F26" s="18">
        <v>2.9156352552981098E-2</v>
      </c>
      <c r="G26" s="18">
        <v>0.50277777777777777</v>
      </c>
      <c r="H26" s="18">
        <v>2.2713226474940731</v>
      </c>
      <c r="I26" s="18">
        <v>1</v>
      </c>
      <c r="J26" s="18">
        <v>10.73747531975552</v>
      </c>
      <c r="K26" s="18">
        <f t="shared" si="1"/>
        <v>0.24396044225650515</v>
      </c>
      <c r="L26" s="18">
        <f>L27*(1+F27*G27)</f>
        <v>0.76016956277764169</v>
      </c>
      <c r="M26" s="18"/>
      <c r="N26" s="18">
        <f t="shared" ref="N26" si="11">L26</f>
        <v>0.76016956277764169</v>
      </c>
    </row>
    <row r="27" spans="1:14">
      <c r="A27" s="13">
        <v>24</v>
      </c>
      <c r="B27">
        <v>12.5</v>
      </c>
      <c r="C27" s="5">
        <v>49321</v>
      </c>
      <c r="D27" s="18">
        <v>0.77061478256932514</v>
      </c>
      <c r="E27" s="18">
        <v>0.74906175653772222</v>
      </c>
      <c r="F27" s="18">
        <v>2.8765069603566101E-2</v>
      </c>
      <c r="G27" s="18">
        <v>0.51111111111111107</v>
      </c>
      <c r="H27" s="18">
        <v>0</v>
      </c>
      <c r="I27" s="18"/>
      <c r="J27" s="18"/>
      <c r="K27" s="18">
        <f t="shared" si="1"/>
        <v>0.25529013382844523</v>
      </c>
      <c r="L27" s="18">
        <f>(L28*(H28/100*J28-K27+D28)/D28)</f>
        <v>0.74915537062786597</v>
      </c>
      <c r="M27" s="18"/>
      <c r="N27" s="18"/>
    </row>
    <row r="28" spans="1:14">
      <c r="A28" s="13">
        <v>25</v>
      </c>
      <c r="B28">
        <v>13</v>
      </c>
      <c r="C28" s="5">
        <v>49502</v>
      </c>
      <c r="D28" s="18">
        <v>0.76021383187024028</v>
      </c>
      <c r="E28" s="18">
        <v>0.73859675986976769</v>
      </c>
      <c r="F28" s="18">
        <v>2.81809495309472E-2</v>
      </c>
      <c r="G28" s="18">
        <v>0.50277777777777777</v>
      </c>
      <c r="H28" s="18">
        <v>2.3132261740925966</v>
      </c>
      <c r="I28" s="18">
        <v>1</v>
      </c>
      <c r="J28" s="18">
        <v>11.49768915162576</v>
      </c>
      <c r="K28" s="18">
        <f t="shared" si="1"/>
        <v>0.26606141749730089</v>
      </c>
      <c r="L28" s="18">
        <f>L29*(1+F29*G29)</f>
        <v>0.73877900782906991</v>
      </c>
      <c r="M28" s="18"/>
      <c r="N28" s="18">
        <f t="shared" ref="N28" si="12">L28</f>
        <v>0.73877900782906991</v>
      </c>
    </row>
    <row r="29" spans="1:14">
      <c r="A29" s="13">
        <v>26</v>
      </c>
      <c r="B29">
        <v>13.5</v>
      </c>
      <c r="C29" s="5">
        <v>49688</v>
      </c>
      <c r="D29" s="18">
        <v>0.7498602714689413</v>
      </c>
      <c r="E29" s="18">
        <v>0.72826345785213376</v>
      </c>
      <c r="F29" s="18">
        <v>2.7462505736529301E-2</v>
      </c>
      <c r="G29" s="18">
        <v>0.51666666666666672</v>
      </c>
      <c r="H29" s="18">
        <v>0</v>
      </c>
      <c r="I29" s="18"/>
      <c r="J29" s="18"/>
      <c r="K29" s="18">
        <f t="shared" si="1"/>
        <v>0.27670115586748667</v>
      </c>
      <c r="L29" s="18">
        <f>(L30*(H30/100*J30-K29+D30)/D30)</f>
        <v>0.72844315608023236</v>
      </c>
      <c r="M29" s="18"/>
      <c r="N29" s="18"/>
    </row>
    <row r="30" spans="1:14">
      <c r="A30" s="13">
        <v>27</v>
      </c>
      <c r="B30">
        <v>14</v>
      </c>
      <c r="C30" s="5">
        <v>49870</v>
      </c>
      <c r="D30" s="18">
        <v>0.74018567472833596</v>
      </c>
      <c r="E30" s="18">
        <v>0.71863740591193315</v>
      </c>
      <c r="F30" s="18">
        <v>2.6495339851027901E-2</v>
      </c>
      <c r="G30" s="18">
        <v>0.50555555555555554</v>
      </c>
      <c r="H30" s="18">
        <v>2.3411326281824287</v>
      </c>
      <c r="I30" s="18">
        <v>1.005555555555556</v>
      </c>
      <c r="J30" s="18">
        <v>12.241986968991471</v>
      </c>
      <c r="K30" s="18">
        <f t="shared" si="1"/>
        <v>0.28661584398657475</v>
      </c>
      <c r="L30" s="18">
        <f>L31*(1+F31*G31)</f>
        <v>0.71882880910285551</v>
      </c>
      <c r="M30" s="18"/>
      <c r="N30" s="18">
        <f t="shared" ref="N30" si="13">L30</f>
        <v>0.71882880910285551</v>
      </c>
    </row>
    <row r="31" spans="1:14">
      <c r="A31" s="13">
        <v>28</v>
      </c>
      <c r="B31">
        <v>14.5</v>
      </c>
      <c r="C31" s="5">
        <v>50052</v>
      </c>
      <c r="D31" s="18">
        <v>0.73104788279616695</v>
      </c>
      <c r="E31" s="18">
        <v>0.7095309602972194</v>
      </c>
      <c r="F31" s="18">
        <v>2.5383289016291E-2</v>
      </c>
      <c r="G31" s="18">
        <v>0.50555555555555554</v>
      </c>
      <c r="H31" s="18">
        <v>0</v>
      </c>
      <c r="I31" s="18"/>
      <c r="J31" s="18"/>
      <c r="K31" s="18">
        <f t="shared" si="1"/>
        <v>0.29599713494286589</v>
      </c>
      <c r="L31" s="18">
        <f>(L32*(H32/100*J32-K31+D32)/D32)</f>
        <v>0.7097211963223079</v>
      </c>
      <c r="M31" s="18"/>
      <c r="N31" s="18"/>
    </row>
    <row r="32" spans="1:14">
      <c r="A32" s="13">
        <v>29</v>
      </c>
      <c r="B32">
        <v>15</v>
      </c>
      <c r="C32" s="5">
        <v>50234</v>
      </c>
      <c r="D32" s="18">
        <v>0.72227737271592507</v>
      </c>
      <c r="E32" s="18">
        <v>0.700838160456415</v>
      </c>
      <c r="F32" s="18">
        <v>2.4534264978464001E-2</v>
      </c>
      <c r="G32" s="18">
        <v>0.50555555555555554</v>
      </c>
      <c r="H32" s="18">
        <v>2.3520489698168565</v>
      </c>
      <c r="I32" s="18">
        <v>0.99722222222222223</v>
      </c>
      <c r="J32" s="18">
        <v>12.962258015672081</v>
      </c>
      <c r="K32" s="18">
        <f t="shared" si="1"/>
        <v>0.30495585463711411</v>
      </c>
      <c r="L32" s="18">
        <f>L33*(1+F33*G33)</f>
        <v>0.70110008278668423</v>
      </c>
      <c r="M32" s="18"/>
      <c r="N32" s="18">
        <f t="shared" ref="N32" si="14">L32</f>
        <v>0.70110008278668423</v>
      </c>
    </row>
    <row r="33" spans="1:14">
      <c r="A33" s="13">
        <v>30</v>
      </c>
      <c r="B33">
        <v>15.5</v>
      </c>
      <c r="C33" s="5">
        <v>50417</v>
      </c>
      <c r="D33" s="18">
        <v>0.71366212197997081</v>
      </c>
      <c r="E33" s="18">
        <v>0.69241736243795082</v>
      </c>
      <c r="F33" s="18">
        <v>2.3922987110430501E-2</v>
      </c>
      <c r="G33" s="18">
        <v>0.5083333333333333</v>
      </c>
      <c r="H33" s="18">
        <v>0</v>
      </c>
      <c r="I33" s="18"/>
      <c r="J33" s="18"/>
      <c r="K33" s="18">
        <f t="shared" si="1"/>
        <v>0.31363459392432319</v>
      </c>
      <c r="L33" s="18">
        <f>(L34*(H34/100*J34-K33+D34)/D34)</f>
        <v>0.69267654597876749</v>
      </c>
      <c r="M33" s="18"/>
      <c r="N33" s="18"/>
    </row>
    <row r="34" spans="1:14">
      <c r="A34" s="13">
        <v>31</v>
      </c>
      <c r="B34">
        <v>16</v>
      </c>
      <c r="C34" s="5">
        <v>50598</v>
      </c>
      <c r="D34" s="18">
        <v>0.70541109112485312</v>
      </c>
      <c r="E34" s="18">
        <v>0.68446812486706743</v>
      </c>
      <c r="F34" s="18">
        <v>2.3099159315272899E-2</v>
      </c>
      <c r="G34" s="18">
        <v>0.50277777777777777</v>
      </c>
      <c r="H34" s="18">
        <v>2.3539707651120754</v>
      </c>
      <c r="I34" s="18">
        <v>0.99722222222222223</v>
      </c>
      <c r="J34" s="18">
        <v>13.6657096315438</v>
      </c>
      <c r="K34" s="18">
        <f t="shared" si="1"/>
        <v>0.32182705774369619</v>
      </c>
      <c r="L34" s="18">
        <f>L35*(1+F35*G35)</f>
        <v>0.68485893171728884</v>
      </c>
      <c r="M34" s="18"/>
      <c r="N34" s="18">
        <f t="shared" ref="N34" si="15">L34</f>
        <v>0.68485893171728884</v>
      </c>
    </row>
    <row r="35" spans="1:14">
      <c r="A35" s="13">
        <v>32</v>
      </c>
      <c r="B35">
        <v>16.5</v>
      </c>
      <c r="C35" s="5">
        <v>50782</v>
      </c>
      <c r="D35" s="18">
        <v>0.69740868440821069</v>
      </c>
      <c r="E35" s="18">
        <v>0.67685350673892697</v>
      </c>
      <c r="F35" s="18">
        <v>2.2010916327615201E-2</v>
      </c>
      <c r="G35" s="18">
        <v>0.51111111111111107</v>
      </c>
      <c r="H35" s="18">
        <v>0</v>
      </c>
      <c r="I35" s="18"/>
      <c r="J35" s="18"/>
      <c r="K35" s="18">
        <f t="shared" si="1"/>
        <v>0.32967292211190086</v>
      </c>
      <c r="L35" s="18">
        <f>(L36*(H36/100*J36-K35+D36)/D36)</f>
        <v>0.67723996591419</v>
      </c>
      <c r="M35" s="18"/>
      <c r="N35" s="18"/>
    </row>
    <row r="36" spans="1:14">
      <c r="A36" s="13">
        <v>33</v>
      </c>
      <c r="B36">
        <v>17</v>
      </c>
      <c r="C36" s="5">
        <v>50963</v>
      </c>
      <c r="D36" s="18">
        <v>0.68996315335641056</v>
      </c>
      <c r="E36" s="18">
        <v>0.66981104102760358</v>
      </c>
      <c r="F36" s="18">
        <v>2.0912038267508801E-2</v>
      </c>
      <c r="G36" s="18">
        <v>0.50277777777777777</v>
      </c>
      <c r="H36" s="18">
        <v>2.3459008878395728</v>
      </c>
      <c r="I36" s="18">
        <v>1</v>
      </c>
      <c r="J36" s="18">
        <v>14.355672784900211</v>
      </c>
      <c r="K36" s="18">
        <f t="shared" ref="K36:K67" si="16">K35+(F36*G36*D36)</f>
        <v>0.33692726931127592</v>
      </c>
      <c r="L36" s="18">
        <f>L37*(1+F37*G37)</f>
        <v>0.67034482603440104</v>
      </c>
      <c r="M36" s="18"/>
      <c r="N36" s="18">
        <f t="shared" ref="N36" si="17">L36</f>
        <v>0.67034482603440104</v>
      </c>
    </row>
    <row r="37" spans="1:14">
      <c r="A37" s="13">
        <v>34</v>
      </c>
      <c r="B37">
        <v>17.5</v>
      </c>
      <c r="C37" s="5">
        <v>51147</v>
      </c>
      <c r="D37" s="18">
        <v>0.68282994441576605</v>
      </c>
      <c r="E37" s="18">
        <v>0.66306691465186141</v>
      </c>
      <c r="F37" s="18">
        <v>1.9899997381878601E-2</v>
      </c>
      <c r="G37" s="18">
        <v>0.51111111111111107</v>
      </c>
      <c r="H37" s="18">
        <v>0</v>
      </c>
      <c r="I37" s="18"/>
      <c r="J37" s="18"/>
      <c r="K37" s="18">
        <f t="shared" si="16"/>
        <v>0.34387240763219296</v>
      </c>
      <c r="L37" s="18">
        <f>(L38*(H38/100*J38-K37+D38)/D38)</f>
        <v>0.66359532513760322</v>
      </c>
      <c r="M37" s="18"/>
      <c r="N37" s="18"/>
    </row>
    <row r="38" spans="1:14">
      <c r="A38" s="13">
        <v>35</v>
      </c>
      <c r="B38">
        <v>18</v>
      </c>
      <c r="C38" s="5">
        <v>51329</v>
      </c>
      <c r="D38" s="18">
        <v>0.67609185802575111</v>
      </c>
      <c r="E38" s="18">
        <v>0.65673579124496839</v>
      </c>
      <c r="F38" s="18">
        <v>1.90687052713602E-2</v>
      </c>
      <c r="G38" s="18">
        <v>0.50555555555555554</v>
      </c>
      <c r="H38" s="18">
        <v>2.3298404599375142</v>
      </c>
      <c r="I38" s="18">
        <v>1</v>
      </c>
      <c r="J38" s="18">
        <v>15.031764642925969</v>
      </c>
      <c r="K38" s="18">
        <f t="shared" si="16"/>
        <v>0.35039012913392853</v>
      </c>
      <c r="L38" s="18">
        <f>L39*(1+F39*G39)</f>
        <v>0.65742673196585233</v>
      </c>
      <c r="M38" s="18"/>
      <c r="N38" s="18">
        <f t="shared" ref="N38" si="18">L38</f>
        <v>0.65742673196585233</v>
      </c>
    </row>
    <row r="39" spans="1:14">
      <c r="A39" s="13">
        <v>36</v>
      </c>
      <c r="B39">
        <v>18.5</v>
      </c>
      <c r="C39" s="5">
        <v>51515</v>
      </c>
      <c r="D39" s="18">
        <v>0.66942332733091914</v>
      </c>
      <c r="E39" s="18">
        <v>0.65055591075883357</v>
      </c>
      <c r="F39" s="18">
        <v>1.8385904743329899E-2</v>
      </c>
      <c r="G39" s="18">
        <v>0.51666666666666672</v>
      </c>
      <c r="H39" s="18">
        <v>0</v>
      </c>
      <c r="I39" s="18"/>
      <c r="J39" s="18"/>
      <c r="K39" s="18">
        <f t="shared" si="16"/>
        <v>0.35674923845738432</v>
      </c>
      <c r="L39" s="18">
        <f>(L40*(H40/100*J40-K39+D40)/D40)</f>
        <v>0.65124034973101586</v>
      </c>
      <c r="M39" s="18"/>
      <c r="N39" s="18"/>
    </row>
    <row r="40" spans="1:14">
      <c r="A40" s="13">
        <v>37</v>
      </c>
      <c r="B40">
        <v>19</v>
      </c>
      <c r="C40" s="5">
        <v>51694</v>
      </c>
      <c r="D40" s="18">
        <v>0.66324213984716596</v>
      </c>
      <c r="E40" s="18">
        <v>0.6449111569909729</v>
      </c>
      <c r="F40" s="18">
        <v>1.75973078822565E-2</v>
      </c>
      <c r="G40" s="18">
        <v>0.49722222222222218</v>
      </c>
      <c r="H40" s="18">
        <v>2.3087869035343873</v>
      </c>
      <c r="I40" s="18">
        <v>1</v>
      </c>
      <c r="J40" s="18">
        <v>15.695006782773129</v>
      </c>
      <c r="K40" s="18">
        <f t="shared" si="16"/>
        <v>0.36255245631358574</v>
      </c>
      <c r="L40" s="18">
        <f>L41*(1+F41*G41)</f>
        <v>0.6457732193469331</v>
      </c>
      <c r="M40" s="18"/>
      <c r="N40" s="18">
        <f t="shared" ref="N40" si="19">L40</f>
        <v>0.6457732193469331</v>
      </c>
    </row>
    <row r="41" spans="1:14">
      <c r="A41" s="13">
        <v>38</v>
      </c>
      <c r="B41">
        <v>19.5</v>
      </c>
      <c r="C41" s="5">
        <v>51879</v>
      </c>
      <c r="D41" s="18">
        <v>0.65713526584249904</v>
      </c>
      <c r="E41" s="18">
        <v>0.63940852927721736</v>
      </c>
      <c r="F41" s="18">
        <v>1.6746439250249601E-2</v>
      </c>
      <c r="G41" s="18">
        <v>0.51388888888888884</v>
      </c>
      <c r="H41" s="18">
        <v>0</v>
      </c>
      <c r="I41" s="18"/>
      <c r="J41" s="18"/>
      <c r="K41" s="18">
        <f t="shared" si="16"/>
        <v>0.36820763693746406</v>
      </c>
      <c r="L41" s="18">
        <f>(L42*(H42/100*J42-K41+D42)/D42)</f>
        <v>0.64026323618869585</v>
      </c>
      <c r="M41" s="18"/>
      <c r="N41" s="18"/>
    </row>
    <row r="42" spans="1:14">
      <c r="A42" s="13">
        <v>39</v>
      </c>
      <c r="B42">
        <v>20</v>
      </c>
      <c r="C42" s="5">
        <v>52061</v>
      </c>
      <c r="D42" s="18">
        <v>0.65135462223894658</v>
      </c>
      <c r="E42" s="18">
        <v>0.63424325968494244</v>
      </c>
      <c r="F42" s="18">
        <v>1.6108987553141298E-2</v>
      </c>
      <c r="G42" s="18">
        <v>0.50555555555555554</v>
      </c>
      <c r="H42" s="18">
        <v>2.2837403109085384</v>
      </c>
      <c r="I42" s="18">
        <v>1.005555555555556</v>
      </c>
      <c r="J42" s="18">
        <v>16.34998004180229</v>
      </c>
      <c r="K42" s="18">
        <f t="shared" si="16"/>
        <v>0.37351226126364112</v>
      </c>
      <c r="L42" s="19">
        <f t="shared" ref="L42:L60" si="20">L43*(1+F43*G43)</f>
        <v>0.63520827988569217</v>
      </c>
      <c r="M42" s="19">
        <v>0.63520827988569195</v>
      </c>
      <c r="N42" s="18">
        <f>L42</f>
        <v>0.63520827988569217</v>
      </c>
    </row>
    <row r="43" spans="1:14">
      <c r="A43" s="13">
        <v>40</v>
      </c>
      <c r="B43">
        <v>20.5</v>
      </c>
      <c r="C43" s="5">
        <v>52243</v>
      </c>
      <c r="D43" s="18">
        <v>0.64573914209288952</v>
      </c>
      <c r="E43" s="18">
        <v>0.62923895877524105</v>
      </c>
      <c r="F43" s="18">
        <v>1.57299670783482E-2</v>
      </c>
      <c r="G43" s="18">
        <v>0.50555555555555554</v>
      </c>
      <c r="H43" s="18">
        <v>0</v>
      </c>
      <c r="I43" s="18"/>
      <c r="J43" s="18"/>
      <c r="K43" s="18">
        <f t="shared" si="16"/>
        <v>0.37864741929483725</v>
      </c>
      <c r="L43" s="18">
        <f t="shared" si="20"/>
        <v>0.63019672097283386</v>
      </c>
      <c r="M43" s="18"/>
      <c r="N43" s="18"/>
    </row>
    <row r="44" spans="1:14">
      <c r="A44" s="13">
        <v>41</v>
      </c>
      <c r="B44">
        <v>21</v>
      </c>
      <c r="C44" s="5">
        <v>52425</v>
      </c>
      <c r="D44" s="18">
        <v>0.6402741031535254</v>
      </c>
      <c r="E44" s="18">
        <v>0.62437792638072032</v>
      </c>
      <c r="F44" s="18">
        <v>1.53996938488435E-2</v>
      </c>
      <c r="G44" s="18">
        <v>0.50555555555555554</v>
      </c>
      <c r="H44" s="18">
        <v>0</v>
      </c>
      <c r="I44" s="18"/>
      <c r="J44" s="18"/>
      <c r="K44" s="18">
        <f t="shared" si="16"/>
        <v>0.38363220979639029</v>
      </c>
      <c r="L44" s="18">
        <f t="shared" si="20"/>
        <v>0.62532828961961251</v>
      </c>
      <c r="M44" s="18"/>
      <c r="N44" s="18"/>
    </row>
    <row r="45" spans="1:14">
      <c r="A45" s="13">
        <v>42</v>
      </c>
      <c r="B45">
        <v>21.5</v>
      </c>
      <c r="C45" s="5">
        <v>52608</v>
      </c>
      <c r="D45" s="18">
        <v>0.634927113266328</v>
      </c>
      <c r="E45" s="18">
        <v>0.61963339874338974</v>
      </c>
      <c r="F45" s="18">
        <v>1.5062316009954399E-2</v>
      </c>
      <c r="G45" s="18">
        <v>0.5083333333333333</v>
      </c>
      <c r="H45" s="18">
        <v>0</v>
      </c>
      <c r="I45" s="18"/>
      <c r="J45" s="18"/>
      <c r="K45" s="18">
        <f t="shared" si="16"/>
        <v>0.38849364181490392</v>
      </c>
      <c r="L45" s="18">
        <f t="shared" si="20"/>
        <v>0.62057673382568102</v>
      </c>
      <c r="M45" s="18"/>
      <c r="N45" s="18"/>
    </row>
    <row r="46" spans="1:14">
      <c r="A46" s="13">
        <v>43</v>
      </c>
      <c r="B46">
        <v>22</v>
      </c>
      <c r="C46" s="5">
        <v>52790</v>
      </c>
      <c r="D46" s="18">
        <v>0.62975313698155089</v>
      </c>
      <c r="E46" s="18">
        <v>0.61505604443203954</v>
      </c>
      <c r="F46" s="18">
        <v>1.47207844081999E-2</v>
      </c>
      <c r="G46" s="18">
        <v>0.50555555555555554</v>
      </c>
      <c r="H46" s="18">
        <v>0</v>
      </c>
      <c r="I46" s="18"/>
      <c r="J46" s="18"/>
      <c r="K46" s="18">
        <f t="shared" si="16"/>
        <v>0.39318037445129428</v>
      </c>
      <c r="L46" s="18">
        <f t="shared" si="20"/>
        <v>0.61599241091174306</v>
      </c>
      <c r="M46" s="18"/>
      <c r="N46" s="18"/>
    </row>
    <row r="47" spans="1:14">
      <c r="A47" s="13">
        <v>44</v>
      </c>
      <c r="B47">
        <v>22.5</v>
      </c>
      <c r="C47" s="5">
        <v>52974</v>
      </c>
      <c r="D47" s="18">
        <v>0.6246646569460953</v>
      </c>
      <c r="E47" s="18">
        <v>0.61057042362918235</v>
      </c>
      <c r="F47" s="18">
        <v>1.4373795838521899E-2</v>
      </c>
      <c r="G47" s="18">
        <v>0.51111111111111107</v>
      </c>
      <c r="H47" s="18">
        <v>0</v>
      </c>
      <c r="I47" s="18"/>
      <c r="J47" s="18"/>
      <c r="K47" s="18">
        <f t="shared" si="16"/>
        <v>0.39776954004394138</v>
      </c>
      <c r="L47" s="18">
        <f t="shared" si="20"/>
        <v>0.61149996116216065</v>
      </c>
      <c r="M47" s="18"/>
      <c r="N47" s="18"/>
    </row>
    <row r="48" spans="1:14">
      <c r="A48" s="13">
        <v>45</v>
      </c>
      <c r="B48">
        <v>23</v>
      </c>
      <c r="C48" s="5">
        <v>53155</v>
      </c>
      <c r="D48" s="18">
        <v>0.61979555389178442</v>
      </c>
      <c r="E48" s="18">
        <v>0.60629619276544222</v>
      </c>
      <c r="F48" s="18">
        <v>1.40215834415629E-2</v>
      </c>
      <c r="G48" s="18">
        <v>0.50277777777777777</v>
      </c>
      <c r="H48" s="18">
        <v>0</v>
      </c>
      <c r="I48" s="18"/>
      <c r="J48" s="18"/>
      <c r="K48" s="18">
        <f t="shared" si="16"/>
        <v>0.40213893790139749</v>
      </c>
      <c r="L48" s="18">
        <f t="shared" si="20"/>
        <v>0.60721922317351129</v>
      </c>
      <c r="M48" s="18"/>
      <c r="N48" s="18"/>
    </row>
    <row r="49" spans="1:14">
      <c r="A49" s="13">
        <v>46</v>
      </c>
      <c r="B49">
        <v>23.5</v>
      </c>
      <c r="C49" s="5">
        <v>53339</v>
      </c>
      <c r="D49" s="18">
        <v>0.61498122338346772</v>
      </c>
      <c r="E49" s="18">
        <v>0.60209061125679897</v>
      </c>
      <c r="F49" s="18">
        <v>1.36662347718224E-2</v>
      </c>
      <c r="G49" s="18">
        <v>0.51111111111111107</v>
      </c>
      <c r="H49" s="18">
        <v>0</v>
      </c>
      <c r="I49" s="18"/>
      <c r="J49" s="18"/>
      <c r="K49" s="18">
        <f t="shared" si="16"/>
        <v>0.40643455987734156</v>
      </c>
      <c r="L49" s="18">
        <f t="shared" si="20"/>
        <v>0.60300723905231268</v>
      </c>
      <c r="M49" s="18"/>
      <c r="N49" s="18"/>
    </row>
    <row r="50" spans="1:14">
      <c r="A50" s="13">
        <v>47</v>
      </c>
      <c r="B50">
        <v>24</v>
      </c>
      <c r="C50" s="5">
        <v>53520</v>
      </c>
      <c r="D50" s="18">
        <v>0.61037562509683041</v>
      </c>
      <c r="E50" s="18">
        <v>0.59808983719780817</v>
      </c>
      <c r="F50" s="18">
        <v>1.3304591007762099E-2</v>
      </c>
      <c r="G50" s="18">
        <v>0.50277777777777777</v>
      </c>
      <c r="H50" s="18">
        <v>0</v>
      </c>
      <c r="I50" s="18"/>
      <c r="J50" s="18"/>
      <c r="K50" s="18">
        <f t="shared" si="16"/>
        <v>0.41051751667622127</v>
      </c>
      <c r="L50" s="18">
        <f t="shared" si="20"/>
        <v>0.59900037418134533</v>
      </c>
      <c r="M50" s="18"/>
      <c r="N50" s="18"/>
    </row>
    <row r="51" spans="1:14">
      <c r="A51" s="13">
        <v>48</v>
      </c>
      <c r="B51">
        <v>24.5</v>
      </c>
      <c r="C51" s="5">
        <v>53706</v>
      </c>
      <c r="D51" s="18">
        <v>0.60577431036681406</v>
      </c>
      <c r="E51" s="18">
        <v>0.59411834436985755</v>
      </c>
      <c r="F51" s="18">
        <v>1.29380962311729E-2</v>
      </c>
      <c r="G51" s="18">
        <v>0.51666666666666672</v>
      </c>
      <c r="H51" s="18">
        <v>0</v>
      </c>
      <c r="I51" s="18"/>
      <c r="J51" s="18"/>
      <c r="K51" s="18">
        <f t="shared" si="16"/>
        <v>0.41456692594253536</v>
      </c>
      <c r="L51" s="18">
        <f t="shared" si="20"/>
        <v>0.5950228351194099</v>
      </c>
      <c r="M51" s="18"/>
      <c r="N51" s="18"/>
    </row>
    <row r="52" spans="1:14">
      <c r="A52" s="13">
        <v>49</v>
      </c>
      <c r="B52">
        <v>25</v>
      </c>
      <c r="C52" s="5">
        <v>53885</v>
      </c>
      <c r="D52" s="18">
        <v>0.60146922482722898</v>
      </c>
      <c r="E52" s="18">
        <v>0.59042925412809355</v>
      </c>
      <c r="F52" s="18">
        <v>1.2563696621126301E-2</v>
      </c>
      <c r="G52" s="18">
        <v>0.49722222222222218</v>
      </c>
      <c r="H52" s="18">
        <v>2.1509999999999998</v>
      </c>
      <c r="I52" s="18">
        <v>1.002777777777778</v>
      </c>
      <c r="J52" s="18">
        <v>20.04276006411229</v>
      </c>
      <c r="K52" s="18">
        <f t="shared" si="16"/>
        <v>0.41832427360729513</v>
      </c>
      <c r="L52" s="18">
        <f t="shared" si="20"/>
        <v>0.59132883396078728</v>
      </c>
      <c r="M52" s="18"/>
      <c r="N52" s="18">
        <f>L52</f>
        <v>0.59132883396078728</v>
      </c>
    </row>
    <row r="53" spans="1:14">
      <c r="A53" s="13">
        <v>50</v>
      </c>
      <c r="B53">
        <v>25.5</v>
      </c>
      <c r="C53" s="5">
        <v>54070</v>
      </c>
      <c r="D53" s="18">
        <v>0.59714179724358019</v>
      </c>
      <c r="E53" s="18">
        <v>0.58675019054605404</v>
      </c>
      <c r="F53" s="18">
        <v>1.22015450147267E-2</v>
      </c>
      <c r="G53" s="18">
        <v>0.51388888888888884</v>
      </c>
      <c r="H53" s="18">
        <v>0</v>
      </c>
      <c r="I53" s="18"/>
      <c r="J53" s="18"/>
      <c r="K53" s="18">
        <f t="shared" si="16"/>
        <v>0.42206849504079469</v>
      </c>
      <c r="L53" s="18">
        <f t="shared" si="20"/>
        <v>0.58764416494612659</v>
      </c>
      <c r="M53" s="18"/>
      <c r="N53" s="18"/>
    </row>
    <row r="54" spans="1:14">
      <c r="A54" s="13">
        <v>51</v>
      </c>
      <c r="B54">
        <v>26</v>
      </c>
      <c r="C54" s="5">
        <v>54252</v>
      </c>
      <c r="D54" s="18">
        <v>0.59299302894571138</v>
      </c>
      <c r="E54" s="18">
        <v>0.58325070461122197</v>
      </c>
      <c r="F54" s="18">
        <v>1.1868069830263801E-2</v>
      </c>
      <c r="G54" s="18">
        <v>0.50555555555555554</v>
      </c>
      <c r="H54" s="18">
        <v>0</v>
      </c>
      <c r="I54" s="18"/>
      <c r="J54" s="18"/>
      <c r="K54" s="18">
        <f t="shared" si="16"/>
        <v>0.42562643461607941</v>
      </c>
      <c r="L54" s="18">
        <f t="shared" si="20"/>
        <v>0.58413934718373051</v>
      </c>
      <c r="M54" s="18"/>
      <c r="N54" s="18"/>
    </row>
    <row r="55" spans="1:14">
      <c r="A55" s="13">
        <v>52</v>
      </c>
      <c r="B55">
        <v>26.5</v>
      </c>
      <c r="C55" s="5">
        <v>54435</v>
      </c>
      <c r="D55" s="18">
        <v>0.58891583250939061</v>
      </c>
      <c r="E55" s="18">
        <v>0.57983716615897962</v>
      </c>
      <c r="F55" s="18">
        <v>1.15805884799351E-2</v>
      </c>
      <c r="G55" s="18">
        <v>0.5083333333333333</v>
      </c>
      <c r="H55" s="18">
        <v>0</v>
      </c>
      <c r="I55" s="18"/>
      <c r="J55" s="18"/>
      <c r="K55" s="18">
        <f t="shared" si="16"/>
        <v>0.42909326383476432</v>
      </c>
      <c r="L55" s="18">
        <f t="shared" si="20"/>
        <v>0.5807207607067183</v>
      </c>
      <c r="M55" s="18"/>
      <c r="N55" s="18"/>
    </row>
    <row r="56" spans="1:14">
      <c r="A56" s="13">
        <v>53</v>
      </c>
      <c r="B56">
        <v>27</v>
      </c>
      <c r="C56" s="5">
        <v>54616</v>
      </c>
      <c r="D56" s="18">
        <v>0.58496282841536662</v>
      </c>
      <c r="E56" s="18">
        <v>0.57655059372333639</v>
      </c>
      <c r="F56" s="18">
        <v>1.13378239913883E-2</v>
      </c>
      <c r="G56" s="18">
        <v>0.50277777777777777</v>
      </c>
      <c r="H56" s="18">
        <v>0</v>
      </c>
      <c r="I56" s="18"/>
      <c r="J56" s="18"/>
      <c r="K56" s="18">
        <f t="shared" si="16"/>
        <v>0.43242778942310917</v>
      </c>
      <c r="L56" s="18">
        <f t="shared" si="20"/>
        <v>0.57742917997278997</v>
      </c>
      <c r="M56" s="18"/>
      <c r="N56" s="18"/>
    </row>
    <row r="57" spans="1:14">
      <c r="A57" s="13">
        <v>54</v>
      </c>
      <c r="B57">
        <v>27.5</v>
      </c>
      <c r="C57" s="5">
        <v>54800</v>
      </c>
      <c r="D57" s="18">
        <v>0.58101208887308553</v>
      </c>
      <c r="E57" s="18">
        <v>0.57328687722651306</v>
      </c>
      <c r="F57" s="18">
        <v>1.1138458824115899E-2</v>
      </c>
      <c r="G57" s="18">
        <v>0.51111111111111107</v>
      </c>
      <c r="H57" s="18">
        <v>0</v>
      </c>
      <c r="I57" s="18"/>
      <c r="J57" s="18"/>
      <c r="K57" s="18">
        <f t="shared" si="16"/>
        <v>0.43573548547309154</v>
      </c>
      <c r="L57" s="18">
        <f t="shared" si="20"/>
        <v>0.57416049000708558</v>
      </c>
      <c r="M57" s="18"/>
      <c r="N57" s="18"/>
    </row>
    <row r="58" spans="1:14">
      <c r="A58" s="13">
        <v>55</v>
      </c>
      <c r="B58">
        <v>28</v>
      </c>
      <c r="C58" s="5">
        <v>54981</v>
      </c>
      <c r="D58" s="18">
        <v>0.57717966116032426</v>
      </c>
      <c r="E58" s="18">
        <v>0.57013896952900966</v>
      </c>
      <c r="F58" s="18">
        <v>1.09815890846915E-2</v>
      </c>
      <c r="G58" s="18">
        <v>0.50277777777777777</v>
      </c>
      <c r="H58" s="18">
        <v>0</v>
      </c>
      <c r="I58" s="18"/>
      <c r="J58" s="18"/>
      <c r="K58" s="18">
        <f t="shared" si="16"/>
        <v>0.4389222669339517</v>
      </c>
      <c r="L58" s="18">
        <f t="shared" si="20"/>
        <v>0.57100778531787377</v>
      </c>
      <c r="M58" s="18"/>
      <c r="N58" s="18"/>
    </row>
    <row r="59" spans="1:14">
      <c r="A59" s="13">
        <v>56</v>
      </c>
      <c r="B59">
        <v>28.5</v>
      </c>
      <c r="C59" s="5">
        <v>55165</v>
      </c>
      <c r="D59" s="18">
        <v>0.57332577765484094</v>
      </c>
      <c r="E59" s="18">
        <v>0.56698905422546453</v>
      </c>
      <c r="F59" s="18">
        <v>1.0869482791382201E-2</v>
      </c>
      <c r="G59" s="18">
        <v>0.51111111111111107</v>
      </c>
      <c r="H59" s="18">
        <v>0</v>
      </c>
      <c r="I59" s="18"/>
      <c r="J59" s="18"/>
      <c r="K59" s="18">
        <f t="shared" si="16"/>
        <v>0.4421073859895901</v>
      </c>
      <c r="L59" s="18">
        <f t="shared" si="20"/>
        <v>0.56785306996329621</v>
      </c>
      <c r="M59" s="18"/>
      <c r="N59" s="18"/>
    </row>
    <row r="60" spans="1:14">
      <c r="A60" s="13">
        <v>57</v>
      </c>
      <c r="B60">
        <v>29</v>
      </c>
      <c r="C60" s="5">
        <v>55346</v>
      </c>
      <c r="D60" s="18">
        <v>0.56956397983013385</v>
      </c>
      <c r="E60" s="18">
        <v>0.56392695819486949</v>
      </c>
      <c r="F60" s="18">
        <v>1.07999035290495E-2</v>
      </c>
      <c r="G60" s="18">
        <v>0.50277777777777777</v>
      </c>
      <c r="H60" s="18">
        <v>0</v>
      </c>
      <c r="I60" s="18"/>
      <c r="J60" s="18"/>
      <c r="K60" s="18">
        <f t="shared" si="16"/>
        <v>0.44520009077424966</v>
      </c>
      <c r="L60" s="18">
        <f t="shared" si="20"/>
        <v>0.56478630770653426</v>
      </c>
      <c r="M60" s="18"/>
      <c r="N60" s="18"/>
    </row>
    <row r="61" spans="1:14">
      <c r="A61" s="13">
        <v>58</v>
      </c>
      <c r="B61">
        <v>29.5</v>
      </c>
      <c r="C61" s="5">
        <v>55530</v>
      </c>
      <c r="D61" s="18">
        <v>0.56575749067846093</v>
      </c>
      <c r="E61" s="18">
        <v>0.56083828488264831</v>
      </c>
      <c r="F61" s="18">
        <v>1.0775042723228601E-2</v>
      </c>
      <c r="G61" s="18">
        <v>0.51111111111111107</v>
      </c>
      <c r="H61" s="18">
        <v>0</v>
      </c>
      <c r="I61" s="18"/>
      <c r="J61" s="18"/>
      <c r="K61" s="18">
        <f t="shared" si="16"/>
        <v>0.4483158553533626</v>
      </c>
      <c r="L61" s="18">
        <f>(L62*(H62/100*J62-K61+D62)/D62)</f>
        <v>0.56169292766791168</v>
      </c>
      <c r="M61" s="18"/>
      <c r="N61" s="18"/>
    </row>
    <row r="62" spans="1:14">
      <c r="A62" s="13">
        <v>59</v>
      </c>
      <c r="B62">
        <v>30</v>
      </c>
      <c r="C62" s="5">
        <v>55712</v>
      </c>
      <c r="D62" s="18">
        <v>0.56199826955425991</v>
      </c>
      <c r="E62" s="18">
        <v>0.55779469673686044</v>
      </c>
      <c r="F62" s="18">
        <v>1.0793010904611801E-2</v>
      </c>
      <c r="G62" s="18">
        <v>0.50555555555555554</v>
      </c>
      <c r="H62" s="18">
        <v>2.0192533618953306</v>
      </c>
      <c r="I62" s="18">
        <v>1</v>
      </c>
      <c r="J62" s="18">
        <v>22.334839906326771</v>
      </c>
      <c r="K62" s="18">
        <f t="shared" si="16"/>
        <v>0.45138238015393017</v>
      </c>
      <c r="L62" s="18">
        <f t="shared" ref="L62:L70" si="21">L63*(1+F63*G63)</f>
        <v>0.5590259574812344</v>
      </c>
      <c r="M62" s="18"/>
      <c r="N62" s="18">
        <f>L62</f>
        <v>0.5590259574812344</v>
      </c>
    </row>
    <row r="63" spans="1:14">
      <c r="A63" s="13">
        <v>60</v>
      </c>
      <c r="B63">
        <v>30.5</v>
      </c>
      <c r="C63" s="5">
        <v>55897</v>
      </c>
      <c r="D63" s="18">
        <v>0.55817405862420799</v>
      </c>
      <c r="E63" s="18">
        <v>0.55470287369725568</v>
      </c>
      <c r="F63" s="18">
        <v>1.0846384244233899E-2</v>
      </c>
      <c r="G63" s="18">
        <v>0.51388888888888884</v>
      </c>
      <c r="H63" s="18">
        <v>0</v>
      </c>
      <c r="I63" s="18"/>
      <c r="J63" s="18"/>
      <c r="K63" s="18">
        <f t="shared" si="16"/>
        <v>0.45449355101025046</v>
      </c>
      <c r="L63" s="18">
        <f t="shared" si="21"/>
        <v>0.55592730963608827</v>
      </c>
      <c r="M63" s="18"/>
      <c r="N63" s="18"/>
    </row>
    <row r="64" spans="1:14">
      <c r="A64" s="13">
        <v>61</v>
      </c>
      <c r="B64">
        <v>31</v>
      </c>
      <c r="C64" s="5">
        <v>56079</v>
      </c>
      <c r="D64" s="18">
        <v>0.55441017461360897</v>
      </c>
      <c r="E64" s="18">
        <v>0.55166414272305053</v>
      </c>
      <c r="F64" s="18">
        <v>1.08955362271776E-2</v>
      </c>
      <c r="G64" s="18">
        <v>0.50555555555555554</v>
      </c>
      <c r="H64" s="18">
        <v>0</v>
      </c>
      <c r="I64" s="18"/>
      <c r="J64" s="18"/>
      <c r="K64" s="18">
        <f t="shared" si="16"/>
        <v>0.45754740794881643</v>
      </c>
      <c r="L64" s="18">
        <f t="shared" si="21"/>
        <v>0.55288187105031361</v>
      </c>
      <c r="M64" s="18"/>
      <c r="N64" s="18"/>
    </row>
    <row r="65" spans="1:14">
      <c r="A65" s="13">
        <v>62</v>
      </c>
      <c r="B65">
        <v>31.5</v>
      </c>
      <c r="C65" s="5">
        <v>56261</v>
      </c>
      <c r="D65" s="18">
        <v>0.55064827385461712</v>
      </c>
      <c r="E65" s="18">
        <v>0.5486319065880878</v>
      </c>
      <c r="F65" s="18">
        <v>1.0932826565357399E-2</v>
      </c>
      <c r="G65" s="18">
        <v>0.50555555555555554</v>
      </c>
      <c r="H65" s="18">
        <v>0</v>
      </c>
      <c r="I65" s="18"/>
      <c r="J65" s="18"/>
      <c r="K65" s="18">
        <f t="shared" si="16"/>
        <v>0.46059092422085812</v>
      </c>
      <c r="L65" s="18">
        <f t="shared" si="21"/>
        <v>0.54984280671693508</v>
      </c>
      <c r="M65" s="18"/>
      <c r="N65" s="18"/>
    </row>
    <row r="66" spans="1:14">
      <c r="A66" s="13">
        <v>63</v>
      </c>
      <c r="B66">
        <v>32</v>
      </c>
      <c r="C66" s="5">
        <v>56443</v>
      </c>
      <c r="D66" s="18">
        <v>0.546891901283866</v>
      </c>
      <c r="E66" s="18">
        <v>0.54560963384076011</v>
      </c>
      <c r="F66" s="18">
        <v>1.0956774856977301E-2</v>
      </c>
      <c r="G66" s="18">
        <v>0.50555555555555554</v>
      </c>
      <c r="H66" s="18">
        <v>0</v>
      </c>
      <c r="I66" s="18"/>
      <c r="J66" s="18"/>
      <c r="K66" s="18">
        <f t="shared" si="16"/>
        <v>0.46362029977889097</v>
      </c>
      <c r="L66" s="18">
        <f t="shared" si="21"/>
        <v>0.54681386343073568</v>
      </c>
      <c r="M66" s="18"/>
      <c r="N66" s="18"/>
    </row>
    <row r="67" spans="1:14">
      <c r="A67" s="13">
        <v>64</v>
      </c>
      <c r="B67">
        <v>32.5</v>
      </c>
      <c r="C67" s="5">
        <v>56626</v>
      </c>
      <c r="D67" s="18">
        <v>0.5431239515609213</v>
      </c>
      <c r="E67" s="18">
        <v>0.54258422783504157</v>
      </c>
      <c r="F67" s="18">
        <v>1.09691991996723E-2</v>
      </c>
      <c r="G67" s="18">
        <v>0.5083333333333333</v>
      </c>
      <c r="H67" s="18">
        <v>0</v>
      </c>
      <c r="I67" s="18"/>
      <c r="J67" s="18"/>
      <c r="K67" s="18">
        <f t="shared" si="16"/>
        <v>0.46664876414307332</v>
      </c>
      <c r="L67" s="18">
        <f t="shared" si="21"/>
        <v>0.54378173128052665</v>
      </c>
      <c r="M67" s="18"/>
      <c r="N67" s="18"/>
    </row>
    <row r="68" spans="1:14">
      <c r="A68" s="13">
        <v>65</v>
      </c>
      <c r="B68">
        <v>33</v>
      </c>
      <c r="C68" s="5">
        <v>56807</v>
      </c>
      <c r="D68" s="18">
        <v>0.53940946446737725</v>
      </c>
      <c r="E68" s="18">
        <v>0.53960847472234175</v>
      </c>
      <c r="F68" s="18">
        <v>1.0968369202468299E-2</v>
      </c>
      <c r="G68" s="18">
        <v>0.50277777777777777</v>
      </c>
      <c r="H68" s="18">
        <v>0</v>
      </c>
      <c r="I68" s="18"/>
      <c r="J68" s="18"/>
      <c r="K68" s="18">
        <f t="shared" ref="K68:K99" si="22">K67+(F68*G68*D68)</f>
        <v>0.4696234197834141</v>
      </c>
      <c r="L68" s="18">
        <f t="shared" si="21"/>
        <v>0.54079941057071923</v>
      </c>
      <c r="M68" s="18"/>
      <c r="N68" s="18"/>
    </row>
    <row r="69" spans="1:14">
      <c r="A69" s="13">
        <v>66</v>
      </c>
      <c r="B69">
        <v>33.5</v>
      </c>
      <c r="C69" s="5">
        <v>56991</v>
      </c>
      <c r="D69" s="18">
        <v>0.53564926141067259</v>
      </c>
      <c r="E69" s="18">
        <v>0.53660360945520758</v>
      </c>
      <c r="F69" s="18">
        <v>1.0956102632769599E-2</v>
      </c>
      <c r="G69" s="18">
        <v>0.51111111111111107</v>
      </c>
      <c r="H69" s="18">
        <v>0</v>
      </c>
      <c r="I69" s="18"/>
      <c r="J69" s="18"/>
      <c r="K69" s="18">
        <f t="shared" si="22"/>
        <v>0.47262294090592966</v>
      </c>
      <c r="L69" s="18">
        <f t="shared" si="21"/>
        <v>0.53778791345487664</v>
      </c>
      <c r="M69" s="18"/>
      <c r="N69" s="18"/>
    </row>
    <row r="70" spans="1:14">
      <c r="A70" s="13">
        <v>67</v>
      </c>
      <c r="B70">
        <v>34</v>
      </c>
      <c r="C70" s="5">
        <v>57173</v>
      </c>
      <c r="D70" s="18">
        <v>0.53194885680512016</v>
      </c>
      <c r="E70" s="18">
        <v>0.53365464410213215</v>
      </c>
      <c r="F70" s="18">
        <v>1.0930511605727E-2</v>
      </c>
      <c r="G70" s="18">
        <v>0.50555555555555554</v>
      </c>
      <c r="H70" s="18">
        <v>0</v>
      </c>
      <c r="I70" s="18"/>
      <c r="J70" s="18"/>
      <c r="K70" s="18">
        <f t="shared" si="22"/>
        <v>0.47556248011103802</v>
      </c>
      <c r="L70" s="18">
        <f t="shared" si="21"/>
        <v>0.53483243962626925</v>
      </c>
      <c r="M70" s="18"/>
      <c r="N70" s="18"/>
    </row>
    <row r="71" spans="1:14">
      <c r="A71" s="13">
        <v>68</v>
      </c>
      <c r="B71">
        <v>34.5</v>
      </c>
      <c r="C71" s="5">
        <v>57357</v>
      </c>
      <c r="D71" s="18">
        <v>0.52823009110863162</v>
      </c>
      <c r="E71" s="18">
        <v>0.53069993891946243</v>
      </c>
      <c r="F71" s="18">
        <v>1.0893057448593301E-2</v>
      </c>
      <c r="G71" s="18">
        <v>0.51111111111111107</v>
      </c>
      <c r="H71" s="18">
        <v>0</v>
      </c>
      <c r="I71" s="18"/>
      <c r="J71" s="18"/>
      <c r="K71" s="18">
        <f t="shared" si="22"/>
        <v>0.47850343426117148</v>
      </c>
      <c r="L71" s="18">
        <f>(L72*(H72/100*J72-K71+D72)/D72)</f>
        <v>0.53187121330005138</v>
      </c>
      <c r="M71" s="18"/>
      <c r="N71" s="18"/>
    </row>
    <row r="72" spans="1:14">
      <c r="A72" s="13">
        <v>69</v>
      </c>
      <c r="B72">
        <v>35</v>
      </c>
      <c r="C72" s="5">
        <v>57538</v>
      </c>
      <c r="D72" s="18">
        <v>0.52459684006245333</v>
      </c>
      <c r="E72" s="18">
        <v>0.52782259332972981</v>
      </c>
      <c r="F72" s="18">
        <v>1.08424636949378E-2</v>
      </c>
      <c r="G72" s="18">
        <v>0.50277777777777777</v>
      </c>
      <c r="H72" s="18">
        <v>1.9211014012823959</v>
      </c>
      <c r="I72" s="18">
        <v>1</v>
      </c>
      <c r="J72" s="18">
        <v>25.032159696291082</v>
      </c>
      <c r="K72" s="18">
        <f t="shared" si="22"/>
        <v>0.48136319514146864</v>
      </c>
      <c r="L72" s="18">
        <f t="shared" ref="L72:L80" si="23">L73*(1+F73*G73)</f>
        <v>0.52945932640555826</v>
      </c>
      <c r="M72" s="18"/>
      <c r="N72" s="18">
        <f>L72</f>
        <v>0.52945932640555826</v>
      </c>
    </row>
    <row r="73" spans="1:14">
      <c r="A73" s="13">
        <v>70</v>
      </c>
      <c r="B73">
        <v>35.5</v>
      </c>
      <c r="C73" s="5">
        <v>57724</v>
      </c>
      <c r="D73" s="18">
        <v>0.52089196930492376</v>
      </c>
      <c r="E73" s="18">
        <v>0.5248990250607739</v>
      </c>
      <c r="F73" s="18">
        <v>1.07802052586819E-2</v>
      </c>
      <c r="G73" s="18">
        <v>0.51666666666666672</v>
      </c>
      <c r="H73" s="18">
        <v>0</v>
      </c>
      <c r="I73" s="18"/>
      <c r="J73" s="18"/>
      <c r="K73" s="18">
        <f t="shared" si="22"/>
        <v>0.48426444502060012</v>
      </c>
      <c r="L73" s="18">
        <f t="shared" si="23"/>
        <v>0.52652669239946703</v>
      </c>
      <c r="M73" s="18"/>
      <c r="N73" s="18"/>
    </row>
    <row r="74" spans="1:14">
      <c r="A74" s="13">
        <v>71</v>
      </c>
      <c r="B74">
        <v>36</v>
      </c>
      <c r="C74" s="5">
        <v>57903</v>
      </c>
      <c r="D74" s="18">
        <v>0.51735683932539711</v>
      </c>
      <c r="E74" s="18">
        <v>0.5221203071921855</v>
      </c>
      <c r="F74" s="18">
        <v>1.07032216274824E-2</v>
      </c>
      <c r="G74" s="18">
        <v>0.49722222222222218</v>
      </c>
      <c r="H74" s="18">
        <v>0</v>
      </c>
      <c r="I74" s="18"/>
      <c r="J74" s="18"/>
      <c r="K74" s="18">
        <f t="shared" si="22"/>
        <v>0.4870177558517419</v>
      </c>
      <c r="L74" s="18">
        <f t="shared" si="23"/>
        <v>0.52373941427264636</v>
      </c>
      <c r="M74" s="18"/>
      <c r="N74" s="18"/>
    </row>
    <row r="75" spans="1:14">
      <c r="A75" s="13">
        <v>72</v>
      </c>
      <c r="B75">
        <v>36.5</v>
      </c>
      <c r="C75" s="5">
        <v>58088</v>
      </c>
      <c r="D75" s="18">
        <v>0.51373727224032295</v>
      </c>
      <c r="E75" s="18">
        <v>0.51928740042500721</v>
      </c>
      <c r="F75" s="18">
        <v>1.06158621108882E-2</v>
      </c>
      <c r="G75" s="18">
        <v>0.51388888888888884</v>
      </c>
      <c r="H75" s="18">
        <v>0</v>
      </c>
      <c r="I75" s="18"/>
      <c r="J75" s="18"/>
      <c r="K75" s="18">
        <f t="shared" si="22"/>
        <v>0.48982038459622945</v>
      </c>
      <c r="L75" s="18">
        <f t="shared" si="23"/>
        <v>0.52089772259643108</v>
      </c>
      <c r="M75" s="18"/>
      <c r="N75" s="18"/>
    </row>
    <row r="76" spans="1:14">
      <c r="A76" s="13">
        <v>73</v>
      </c>
      <c r="B76">
        <v>37</v>
      </c>
      <c r="C76" s="5">
        <v>58270</v>
      </c>
      <c r="D76" s="18">
        <v>0.51021287719542696</v>
      </c>
      <c r="E76" s="18">
        <v>0.51654201597351568</v>
      </c>
      <c r="F76" s="18">
        <v>1.05130475648442E-2</v>
      </c>
      <c r="G76" s="18">
        <v>0.50555555555555554</v>
      </c>
      <c r="H76" s="18">
        <v>0</v>
      </c>
      <c r="I76" s="18"/>
      <c r="J76" s="18"/>
      <c r="K76" s="18">
        <f t="shared" si="22"/>
        <v>0.49253213012067271</v>
      </c>
      <c r="L76" s="18">
        <f t="shared" si="23"/>
        <v>0.51814382464461639</v>
      </c>
      <c r="M76" s="18"/>
      <c r="N76" s="18"/>
    </row>
    <row r="77" spans="1:14">
      <c r="A77" s="13">
        <v>74</v>
      </c>
      <c r="B77">
        <v>37.5</v>
      </c>
      <c r="C77" s="5">
        <v>58452</v>
      </c>
      <c r="D77" s="18">
        <v>0.50672726759364373</v>
      </c>
      <c r="E77" s="18">
        <v>0.51384074987513662</v>
      </c>
      <c r="F77" s="18">
        <v>1.0398104339398801E-2</v>
      </c>
      <c r="G77" s="18">
        <v>0.50555555555555554</v>
      </c>
      <c r="H77" s="18">
        <v>0</v>
      </c>
      <c r="I77" s="18"/>
      <c r="J77" s="18"/>
      <c r="K77" s="18">
        <f t="shared" si="22"/>
        <v>0.4951959038595905</v>
      </c>
      <c r="L77" s="18">
        <f t="shared" si="23"/>
        <v>0.51543427971532174</v>
      </c>
      <c r="M77" s="18"/>
      <c r="N77" s="18"/>
    </row>
    <row r="78" spans="1:14">
      <c r="A78" s="13">
        <v>75</v>
      </c>
      <c r="B78">
        <v>38</v>
      </c>
      <c r="C78" s="5">
        <v>58634</v>
      </c>
      <c r="D78" s="18">
        <v>0.50328295965269065</v>
      </c>
      <c r="E78" s="18">
        <v>0.51118640050096331</v>
      </c>
      <c r="F78" s="18">
        <v>1.0270933253150399E-2</v>
      </c>
      <c r="G78" s="18">
        <v>0.50555555555555554</v>
      </c>
      <c r="H78" s="18">
        <v>0</v>
      </c>
      <c r="I78" s="18"/>
      <c r="J78" s="18"/>
      <c r="K78" s="18">
        <f t="shared" si="22"/>
        <v>0.49780921440086667</v>
      </c>
      <c r="L78" s="18">
        <f t="shared" si="23"/>
        <v>0.51277169863719141</v>
      </c>
      <c r="M78" s="18"/>
      <c r="N78" s="18"/>
    </row>
    <row r="79" spans="1:14">
      <c r="A79" s="13">
        <v>76</v>
      </c>
      <c r="B79">
        <v>38.5</v>
      </c>
      <c r="C79" s="5">
        <v>58818</v>
      </c>
      <c r="D79" s="18">
        <v>0.49984527842257231</v>
      </c>
      <c r="E79" s="18">
        <v>0.50855337125243827</v>
      </c>
      <c r="F79" s="18">
        <v>1.0129868870633E-2</v>
      </c>
      <c r="G79" s="18">
        <v>0.51111111111111107</v>
      </c>
      <c r="H79" s="18">
        <v>0</v>
      </c>
      <c r="I79" s="18"/>
      <c r="J79" s="18"/>
      <c r="K79" s="18">
        <f t="shared" si="22"/>
        <v>0.50039715759861314</v>
      </c>
      <c r="L79" s="18">
        <f t="shared" si="23"/>
        <v>0.51013050380296954</v>
      </c>
      <c r="M79" s="18"/>
      <c r="N79" s="18"/>
    </row>
    <row r="80" spans="1:14">
      <c r="A80" s="13">
        <v>77</v>
      </c>
      <c r="B80">
        <v>39</v>
      </c>
      <c r="C80" s="5">
        <v>58999</v>
      </c>
      <c r="D80" s="18">
        <v>0.49650964556268212</v>
      </c>
      <c r="E80" s="18">
        <v>0.50601548457043399</v>
      </c>
      <c r="F80" s="18">
        <v>9.9754465449435996E-3</v>
      </c>
      <c r="G80" s="18">
        <v>0.50277777777777777</v>
      </c>
      <c r="H80" s="18">
        <v>0</v>
      </c>
      <c r="I80" s="18"/>
      <c r="J80" s="18"/>
      <c r="K80" s="18">
        <f t="shared" si="22"/>
        <v>0.50288736838342718</v>
      </c>
      <c r="L80" s="18">
        <f t="shared" si="23"/>
        <v>0.50758474659267461</v>
      </c>
      <c r="M80" s="18"/>
      <c r="N80" s="18"/>
    </row>
    <row r="81" spans="1:14">
      <c r="A81" s="13">
        <v>78</v>
      </c>
      <c r="B81">
        <v>39.5</v>
      </c>
      <c r="C81" s="5">
        <v>59183</v>
      </c>
      <c r="D81" s="18">
        <v>0.49316783235733408</v>
      </c>
      <c r="E81" s="18">
        <v>0.50349129580180585</v>
      </c>
      <c r="F81" s="18">
        <v>9.8087697655727703E-3</v>
      </c>
      <c r="G81" s="18">
        <v>0.51111111111111107</v>
      </c>
      <c r="H81" s="18">
        <v>0</v>
      </c>
      <c r="I81" s="18"/>
      <c r="J81" s="18"/>
      <c r="K81" s="18">
        <f t="shared" si="22"/>
        <v>0.50535980179759898</v>
      </c>
      <c r="L81" s="18">
        <f>(L82*(H82/100*J82-K81+D82))/D82</f>
        <v>0.50505272977590887</v>
      </c>
      <c r="M81" s="18"/>
      <c r="N81" s="18"/>
    </row>
    <row r="82" spans="1:14">
      <c r="A82" s="13">
        <v>79</v>
      </c>
      <c r="B82">
        <v>40</v>
      </c>
      <c r="C82" s="5">
        <v>59364</v>
      </c>
      <c r="D82" s="18">
        <v>0.48993103816542471</v>
      </c>
      <c r="E82" s="18">
        <v>0.50106569279954849</v>
      </c>
      <c r="F82" s="18">
        <v>9.6282859328103293E-3</v>
      </c>
      <c r="G82" s="18">
        <v>0.50277777777777777</v>
      </c>
      <c r="H82" s="18">
        <v>1.8409437861415958</v>
      </c>
      <c r="I82" s="18">
        <v>1</v>
      </c>
      <c r="J82" s="18">
        <v>27.549491555734601</v>
      </c>
      <c r="K82" s="18">
        <f t="shared" si="22"/>
        <v>0.50773150318157001</v>
      </c>
      <c r="L82" s="19">
        <f t="shared" ref="L82:L100" si="24">L83*(1+F83*G83)</f>
        <v>0.50319286118036299</v>
      </c>
      <c r="M82" s="19">
        <v>0.50319286118036299</v>
      </c>
      <c r="N82" s="18">
        <f>L82</f>
        <v>0.50319286118036299</v>
      </c>
    </row>
    <row r="83" spans="1:14">
      <c r="A83" s="13">
        <v>80</v>
      </c>
      <c r="B83">
        <v>40.5</v>
      </c>
      <c r="C83" s="5">
        <v>59548</v>
      </c>
      <c r="D83" s="18">
        <v>0.48669362634470931</v>
      </c>
      <c r="E83" s="18">
        <v>0.49865975423065317</v>
      </c>
      <c r="F83" s="18">
        <v>9.4398456525104004E-3</v>
      </c>
      <c r="G83" s="18">
        <v>0.51111111111111107</v>
      </c>
      <c r="H83" s="18">
        <v>0</v>
      </c>
      <c r="I83" s="18"/>
      <c r="J83" s="18"/>
      <c r="K83" s="18">
        <f t="shared" si="22"/>
        <v>0.51007970745697795</v>
      </c>
      <c r="L83" s="18">
        <f t="shared" si="24"/>
        <v>0.5007767087083338</v>
      </c>
      <c r="M83" s="18"/>
      <c r="N83" s="18"/>
    </row>
    <row r="84" spans="1:14">
      <c r="A84" s="13">
        <v>81</v>
      </c>
      <c r="B84">
        <v>41</v>
      </c>
      <c r="C84" s="5">
        <v>59729</v>
      </c>
      <c r="D84" s="18">
        <v>0.4835606296701902</v>
      </c>
      <c r="E84" s="18">
        <v>0.49634912885889831</v>
      </c>
      <c r="F84" s="18">
        <v>9.2590451040213406E-3</v>
      </c>
      <c r="G84" s="18">
        <v>0.50277777777777777</v>
      </c>
      <c r="H84" s="18">
        <v>0</v>
      </c>
      <c r="I84" s="18"/>
      <c r="J84" s="18"/>
      <c r="K84" s="18">
        <f t="shared" si="22"/>
        <v>0.51233079926863567</v>
      </c>
      <c r="L84" s="18">
        <f t="shared" si="24"/>
        <v>0.49845627406545673</v>
      </c>
      <c r="M84" s="18"/>
      <c r="N84" s="18"/>
    </row>
    <row r="85" spans="1:14">
      <c r="A85" s="13">
        <v>82</v>
      </c>
      <c r="B85">
        <v>41.5</v>
      </c>
      <c r="C85" s="5">
        <v>59915</v>
      </c>
      <c r="D85" s="18">
        <v>0.48039334667767708</v>
      </c>
      <c r="E85" s="18">
        <v>0.49402867581010651</v>
      </c>
      <c r="F85" s="18">
        <v>9.0909691464970098E-3</v>
      </c>
      <c r="G85" s="18">
        <v>0.51666666666666672</v>
      </c>
      <c r="H85" s="18">
        <v>0</v>
      </c>
      <c r="I85" s="18"/>
      <c r="J85" s="18"/>
      <c r="K85" s="18">
        <f t="shared" si="22"/>
        <v>0.51458720716659745</v>
      </c>
      <c r="L85" s="18">
        <f t="shared" si="24"/>
        <v>0.49612597002421926</v>
      </c>
      <c r="M85" s="18"/>
      <c r="N85" s="18"/>
    </row>
    <row r="86" spans="1:14">
      <c r="A86" s="13">
        <v>83</v>
      </c>
      <c r="B86">
        <v>42</v>
      </c>
      <c r="C86" s="5">
        <v>60097</v>
      </c>
      <c r="D86" s="18">
        <v>0.4773444128346101</v>
      </c>
      <c r="E86" s="18">
        <v>0.49180732439275149</v>
      </c>
      <c r="F86" s="18">
        <v>8.9341530849784603E-3</v>
      </c>
      <c r="G86" s="18">
        <v>0.50555555555555554</v>
      </c>
      <c r="H86" s="18">
        <v>0</v>
      </c>
      <c r="I86" s="18"/>
      <c r="J86" s="18"/>
      <c r="K86" s="18">
        <f t="shared" si="22"/>
        <v>0.51674323379618436</v>
      </c>
      <c r="L86" s="18">
        <f t="shared" si="24"/>
        <v>0.49389518832942642</v>
      </c>
      <c r="M86" s="18"/>
      <c r="N86" s="18"/>
    </row>
    <row r="87" spans="1:14">
      <c r="A87" s="13">
        <v>84</v>
      </c>
      <c r="B87">
        <v>42.5</v>
      </c>
      <c r="C87" s="5">
        <v>60279</v>
      </c>
      <c r="D87" s="18">
        <v>0.47434415945888991</v>
      </c>
      <c r="E87" s="18">
        <v>0.4896309584163458</v>
      </c>
      <c r="F87" s="18">
        <v>8.7916116448463408E-3</v>
      </c>
      <c r="G87" s="18">
        <v>0.50555555555555554</v>
      </c>
      <c r="H87" s="18">
        <v>0</v>
      </c>
      <c r="I87" s="18"/>
      <c r="J87" s="18"/>
      <c r="K87" s="18">
        <f t="shared" si="22"/>
        <v>0.51885152666769929</v>
      </c>
      <c r="L87" s="18">
        <f t="shared" si="24"/>
        <v>0.49170971168902416</v>
      </c>
      <c r="M87" s="18"/>
      <c r="N87" s="18"/>
    </row>
    <row r="88" spans="1:14">
      <c r="A88" s="13">
        <v>85</v>
      </c>
      <c r="B88">
        <v>43</v>
      </c>
      <c r="C88" s="5">
        <v>60461</v>
      </c>
      <c r="D88" s="18">
        <v>0.47139160614948861</v>
      </c>
      <c r="E88" s="18">
        <v>0.48749599328334481</v>
      </c>
      <c r="F88" s="18">
        <v>8.6626516188248893E-3</v>
      </c>
      <c r="G88" s="18">
        <v>0.50555555555555554</v>
      </c>
      <c r="H88" s="18">
        <v>0</v>
      </c>
      <c r="I88" s="18"/>
      <c r="J88" s="18"/>
      <c r="K88" s="18">
        <f t="shared" si="22"/>
        <v>0.52091596341586666</v>
      </c>
      <c r="L88" s="18">
        <f t="shared" si="24"/>
        <v>0.48956568245237325</v>
      </c>
      <c r="M88" s="18"/>
      <c r="N88" s="18"/>
    </row>
    <row r="89" spans="1:14">
      <c r="A89" s="13">
        <v>86</v>
      </c>
      <c r="B89">
        <v>43.5</v>
      </c>
      <c r="C89" s="5">
        <v>60644</v>
      </c>
      <c r="D89" s="18">
        <v>0.46846995448104201</v>
      </c>
      <c r="E89" s="18">
        <v>0.48538748473141352</v>
      </c>
      <c r="F89" s="18">
        <v>8.5453174166054604E-3</v>
      </c>
      <c r="G89" s="18">
        <v>0.5083333333333333</v>
      </c>
      <c r="H89" s="18">
        <v>0</v>
      </c>
      <c r="I89" s="18"/>
      <c r="J89" s="18"/>
      <c r="K89" s="18">
        <f t="shared" si="22"/>
        <v>0.5229509358503015</v>
      </c>
      <c r="L89" s="18">
        <f t="shared" si="24"/>
        <v>0.48744827068547203</v>
      </c>
      <c r="M89" s="18"/>
      <c r="N89" s="18"/>
    </row>
    <row r="90" spans="1:14">
      <c r="A90" s="13">
        <v>87</v>
      </c>
      <c r="B90">
        <v>44</v>
      </c>
      <c r="C90" s="5">
        <v>60825</v>
      </c>
      <c r="D90" s="18">
        <v>0.46562578064583421</v>
      </c>
      <c r="E90" s="18">
        <v>0.48333624725846241</v>
      </c>
      <c r="F90" s="18">
        <v>8.4409339494139791E-3</v>
      </c>
      <c r="G90" s="18">
        <v>0.50277777777777777</v>
      </c>
      <c r="H90" s="18">
        <v>0</v>
      </c>
      <c r="I90" s="18"/>
      <c r="J90" s="18"/>
      <c r="K90" s="18">
        <f t="shared" si="22"/>
        <v>0.52492701162581046</v>
      </c>
      <c r="L90" s="18">
        <f t="shared" si="24"/>
        <v>0.48538832437369489</v>
      </c>
      <c r="M90" s="18"/>
      <c r="N90" s="18"/>
    </row>
    <row r="91" spans="1:14">
      <c r="A91" s="13">
        <v>88</v>
      </c>
      <c r="B91">
        <v>44.5</v>
      </c>
      <c r="C91" s="5">
        <v>61009</v>
      </c>
      <c r="D91" s="18">
        <v>0.46277995896916652</v>
      </c>
      <c r="E91" s="18">
        <v>0.48128244372266532</v>
      </c>
      <c r="F91" s="18">
        <v>8.3491748309134205E-3</v>
      </c>
      <c r="G91" s="18">
        <v>0.51111111111111107</v>
      </c>
      <c r="H91" s="18">
        <v>0</v>
      </c>
      <c r="I91" s="18"/>
      <c r="J91" s="18"/>
      <c r="K91" s="18">
        <f t="shared" si="22"/>
        <v>0.52690185847182291</v>
      </c>
      <c r="L91" s="18">
        <f t="shared" si="24"/>
        <v>0.4833258011044641</v>
      </c>
      <c r="M91" s="18"/>
      <c r="N91" s="18"/>
    </row>
    <row r="92" spans="1:14">
      <c r="A92" s="13">
        <v>89</v>
      </c>
      <c r="B92">
        <v>45</v>
      </c>
      <c r="C92" s="5">
        <v>61190</v>
      </c>
      <c r="D92" s="18">
        <v>0.46002438942535051</v>
      </c>
      <c r="E92" s="18">
        <v>0.47928971420650379</v>
      </c>
      <c r="F92" s="18">
        <v>8.2694032527044995E-3</v>
      </c>
      <c r="G92" s="18">
        <v>0.50277777777777777</v>
      </c>
      <c r="H92" s="18">
        <v>0</v>
      </c>
      <c r="I92" s="18"/>
      <c r="J92" s="18"/>
      <c r="K92" s="18">
        <f t="shared" si="22"/>
        <v>0.5288144890828923</v>
      </c>
      <c r="L92" s="18">
        <f t="shared" si="24"/>
        <v>0.48132461115385322</v>
      </c>
      <c r="M92" s="18"/>
      <c r="N92" s="18"/>
    </row>
    <row r="93" spans="1:14">
      <c r="A93" s="13">
        <v>90</v>
      </c>
      <c r="B93">
        <v>45.5</v>
      </c>
      <c r="C93" s="5">
        <v>61374</v>
      </c>
      <c r="D93" s="18">
        <v>0.45726682763226401</v>
      </c>
      <c r="E93" s="18">
        <v>0.47728865240006779</v>
      </c>
      <c r="F93" s="18">
        <v>8.2028368073458306E-3</v>
      </c>
      <c r="G93" s="18">
        <v>0.51111111111111107</v>
      </c>
      <c r="H93" s="18">
        <v>0</v>
      </c>
      <c r="I93" s="18"/>
      <c r="J93" s="18"/>
      <c r="K93" s="18">
        <f t="shared" si="22"/>
        <v>0.53073160816695997</v>
      </c>
      <c r="L93" s="18">
        <f t="shared" si="24"/>
        <v>0.47931505353696957</v>
      </c>
      <c r="M93" s="18"/>
      <c r="N93" s="18"/>
    </row>
    <row r="94" spans="1:14">
      <c r="A94" s="13">
        <v>91</v>
      </c>
      <c r="B94">
        <v>46</v>
      </c>
      <c r="C94" s="5">
        <v>61556</v>
      </c>
      <c r="D94" s="18">
        <v>0.45458169239949059</v>
      </c>
      <c r="E94" s="18">
        <v>0.47533058089557279</v>
      </c>
      <c r="F94" s="18">
        <v>8.1482417208092097E-3</v>
      </c>
      <c r="G94" s="18">
        <v>0.50555555555555554</v>
      </c>
      <c r="H94" s="18">
        <v>0</v>
      </c>
      <c r="I94" s="18"/>
      <c r="J94" s="18"/>
      <c r="K94" s="18">
        <f t="shared" si="22"/>
        <v>0.53260420693112009</v>
      </c>
      <c r="L94" s="18">
        <f t="shared" si="24"/>
        <v>0.47734866874385368</v>
      </c>
      <c r="M94" s="18"/>
      <c r="N94" s="18"/>
    </row>
    <row r="95" spans="1:14">
      <c r="A95" s="13">
        <v>92</v>
      </c>
      <c r="B95">
        <v>46.5</v>
      </c>
      <c r="C95" s="5">
        <v>61742</v>
      </c>
      <c r="D95" s="18">
        <v>0.45188028198482799</v>
      </c>
      <c r="E95" s="18">
        <v>0.47334797928999178</v>
      </c>
      <c r="F95" s="18">
        <v>8.1067071119907304E-3</v>
      </c>
      <c r="G95" s="18">
        <v>0.51666666666666672</v>
      </c>
      <c r="H95" s="18">
        <v>0</v>
      </c>
      <c r="I95" s="18"/>
      <c r="J95" s="18"/>
      <c r="K95" s="18">
        <f t="shared" si="22"/>
        <v>0.53449689183058302</v>
      </c>
      <c r="L95" s="18">
        <f t="shared" si="24"/>
        <v>0.475357649703399</v>
      </c>
      <c r="M95" s="18"/>
      <c r="N95" s="18"/>
    </row>
    <row r="96" spans="1:14">
      <c r="A96" s="13">
        <v>93</v>
      </c>
      <c r="B96">
        <v>47</v>
      </c>
      <c r="C96" s="5">
        <v>61921</v>
      </c>
      <c r="D96" s="18">
        <v>0.44932051302385029</v>
      </c>
      <c r="E96" s="18">
        <v>0.47145456425612797</v>
      </c>
      <c r="F96" s="18">
        <v>8.0772026974377208E-3</v>
      </c>
      <c r="G96" s="18">
        <v>0.49722222222222218</v>
      </c>
      <c r="H96" s="18">
        <v>0</v>
      </c>
      <c r="I96" s="18"/>
      <c r="J96" s="18"/>
      <c r="K96" s="18">
        <f t="shared" si="22"/>
        <v>0.53630143700254429</v>
      </c>
      <c r="L96" s="18">
        <f t="shared" si="24"/>
        <v>0.47345617175145871</v>
      </c>
      <c r="M96" s="18"/>
      <c r="N96" s="18"/>
    </row>
    <row r="97" spans="1:18">
      <c r="A97" s="13">
        <v>94</v>
      </c>
      <c r="B97">
        <v>47.5</v>
      </c>
      <c r="C97" s="5">
        <v>62106</v>
      </c>
      <c r="D97" s="18">
        <v>0.44671531179977891</v>
      </c>
      <c r="E97" s="18">
        <v>0.46950955127735849</v>
      </c>
      <c r="F97" s="18">
        <v>8.0613698071773897E-3</v>
      </c>
      <c r="G97" s="18">
        <v>0.51388888888888884</v>
      </c>
      <c r="H97" s="18">
        <v>0</v>
      </c>
      <c r="I97" s="18"/>
      <c r="J97" s="18"/>
      <c r="K97" s="18">
        <f t="shared" si="22"/>
        <v>0.53815202146222518</v>
      </c>
      <c r="L97" s="18">
        <f t="shared" si="24"/>
        <v>0.47150290102559761</v>
      </c>
      <c r="M97" s="18"/>
      <c r="N97" s="18"/>
    </row>
    <row r="98" spans="1:18">
      <c r="A98" s="13">
        <v>95</v>
      </c>
      <c r="B98">
        <v>48</v>
      </c>
      <c r="C98" s="5">
        <v>62288</v>
      </c>
      <c r="D98" s="18">
        <v>0.44419159681857179</v>
      </c>
      <c r="E98" s="18">
        <v>0.46760479806134042</v>
      </c>
      <c r="F98" s="18">
        <v>8.0573247742801099E-3</v>
      </c>
      <c r="G98" s="18">
        <v>0.50555555555555554</v>
      </c>
      <c r="H98" s="18">
        <v>0</v>
      </c>
      <c r="I98" s="18"/>
      <c r="J98" s="18"/>
      <c r="K98" s="18">
        <f t="shared" si="22"/>
        <v>0.5399614027518872</v>
      </c>
      <c r="L98" s="18">
        <f t="shared" si="24"/>
        <v>0.46959006098933637</v>
      </c>
      <c r="M98" s="18"/>
      <c r="N98" s="18"/>
    </row>
    <row r="99" spans="1:18">
      <c r="A99" s="13">
        <v>96</v>
      </c>
      <c r="B99">
        <v>48.5</v>
      </c>
      <c r="C99" s="5">
        <v>62470</v>
      </c>
      <c r="D99" s="18">
        <v>0.44170601590680081</v>
      </c>
      <c r="E99" s="18">
        <v>0.46570569634089187</v>
      </c>
      <c r="F99" s="18">
        <v>8.0664530618313798E-3</v>
      </c>
      <c r="G99" s="18">
        <v>0.50555555555555554</v>
      </c>
      <c r="H99" s="18">
        <v>0</v>
      </c>
      <c r="I99" s="18"/>
      <c r="J99" s="18"/>
      <c r="K99" s="18">
        <f t="shared" si="22"/>
        <v>0.54176269762324336</v>
      </c>
      <c r="L99" s="18">
        <f t="shared" si="24"/>
        <v>0.46768283162029667</v>
      </c>
      <c r="M99" s="18"/>
      <c r="N99" s="18"/>
      <c r="Q99" s="5">
        <v>59364</v>
      </c>
      <c r="R99" s="18">
        <f>M82</f>
        <v>0.50319286118036299</v>
      </c>
    </row>
    <row r="100" spans="1:18">
      <c r="A100" s="13">
        <v>97</v>
      </c>
      <c r="B100">
        <v>49</v>
      </c>
      <c r="C100" s="5">
        <v>62652</v>
      </c>
      <c r="D100" s="18">
        <v>0.4392578039092318</v>
      </c>
      <c r="E100" s="18">
        <v>0.46380931440043982</v>
      </c>
      <c r="F100" s="18">
        <v>8.0875589180164006E-3</v>
      </c>
      <c r="G100" s="18">
        <v>0.50555555555555554</v>
      </c>
      <c r="H100" s="18">
        <v>0</v>
      </c>
      <c r="I100" s="18"/>
      <c r="J100" s="18"/>
      <c r="K100" s="18">
        <f t="shared" ref="K100:K122" si="25">K99+(F100*G100*D100)</f>
        <v>0.54355869554884118</v>
      </c>
      <c r="L100" s="18">
        <f t="shared" si="24"/>
        <v>0.46577839866464937</v>
      </c>
      <c r="M100" s="18"/>
      <c r="N100" s="18"/>
      <c r="Q100" s="5">
        <v>66670</v>
      </c>
      <c r="R100" s="18">
        <f>M122</f>
        <v>0.42506140010883903</v>
      </c>
    </row>
    <row r="101" spans="1:18">
      <c r="A101" s="13">
        <v>98</v>
      </c>
      <c r="B101">
        <v>49.5</v>
      </c>
      <c r="C101" s="5">
        <v>62835</v>
      </c>
      <c r="D101" s="18">
        <v>0.43683305994826649</v>
      </c>
      <c r="E101" s="18">
        <v>0.46190234191945129</v>
      </c>
      <c r="F101" s="18">
        <v>8.1218840242567106E-3</v>
      </c>
      <c r="G101" s="18">
        <v>0.5083333333333333</v>
      </c>
      <c r="H101" s="18">
        <v>0</v>
      </c>
      <c r="I101" s="18"/>
      <c r="J101" s="18"/>
      <c r="K101" s="18">
        <f t="shared" si="25"/>
        <v>0.54536221516969552</v>
      </c>
      <c r="L101" s="18">
        <f>(L102*(H102/100*J102-K101+D102))/D102</f>
        <v>0.46386328141248817</v>
      </c>
      <c r="M101" s="18"/>
      <c r="N101" s="18"/>
      <c r="Q101" s="5"/>
      <c r="R101" s="18"/>
    </row>
    <row r="102" spans="1:18">
      <c r="A102" s="13">
        <v>99</v>
      </c>
      <c r="B102">
        <v>50</v>
      </c>
      <c r="C102" s="5">
        <v>63017</v>
      </c>
      <c r="D102" s="18">
        <v>0.43445754508781198</v>
      </c>
      <c r="E102" s="18">
        <v>0.46000277084258262</v>
      </c>
      <c r="F102" s="18">
        <v>8.1681971871145394E-3</v>
      </c>
      <c r="G102" s="18">
        <v>0.50555555555555554</v>
      </c>
      <c r="H102" s="18">
        <v>1.6977175451116611</v>
      </c>
      <c r="I102" s="18">
        <v>0.99722222222222223</v>
      </c>
      <c r="J102" s="18">
        <v>32.129337357042132</v>
      </c>
      <c r="K102" s="18">
        <f t="shared" si="25"/>
        <v>0.54715629781242514</v>
      </c>
      <c r="L102" s="18">
        <f t="shared" ref="L102:L120" si="26">L103*(1+F103*G103)</f>
        <v>0.46375314153367814</v>
      </c>
      <c r="M102" s="18"/>
      <c r="N102" s="18">
        <f>R102</f>
        <v>0.46412713064460098</v>
      </c>
      <c r="Q102" s="5">
        <v>63017</v>
      </c>
      <c r="R102" s="18" cm="1">
        <f t="array" ref="R102">interpolate(Q99:Q100,R99:R100,Q102,"Natural Cubic Spline")</f>
        <v>0.46412713064460098</v>
      </c>
    </row>
    <row r="103" spans="1:18">
      <c r="A103" s="13">
        <v>100</v>
      </c>
      <c r="B103">
        <v>50.5</v>
      </c>
      <c r="C103" s="5">
        <v>63201</v>
      </c>
      <c r="D103" s="18">
        <v>0.43209151992901568</v>
      </c>
      <c r="E103" s="18">
        <v>0.45807702898065161</v>
      </c>
      <c r="F103" s="18">
        <v>8.2251577321086899E-3</v>
      </c>
      <c r="G103" s="18">
        <v>0.51111111111111107</v>
      </c>
      <c r="H103" s="18">
        <v>0</v>
      </c>
      <c r="I103" s="18"/>
      <c r="J103" s="18"/>
      <c r="K103" s="18">
        <f t="shared" si="25"/>
        <v>0.5489727973866656</v>
      </c>
      <c r="L103" s="18">
        <f t="shared" si="26"/>
        <v>0.46181169923189025</v>
      </c>
      <c r="M103" s="18"/>
      <c r="N103" s="18"/>
      <c r="Q103" s="5">
        <v>66488</v>
      </c>
      <c r="R103" s="18" cm="1">
        <f t="array" ref="R103">interpolate(Q99:Q100,R99:R100,Q103,"Natural Cubic Spline")</f>
        <v>0.4270077354380229</v>
      </c>
    </row>
    <row r="104" spans="1:18">
      <c r="A104" s="13">
        <v>101</v>
      </c>
      <c r="B104">
        <v>51</v>
      </c>
      <c r="C104" s="5">
        <v>63382</v>
      </c>
      <c r="D104" s="18">
        <v>0.42979759775090948</v>
      </c>
      <c r="E104" s="18">
        <v>0.45617770642395977</v>
      </c>
      <c r="F104" s="18">
        <v>8.2811107833842199E-3</v>
      </c>
      <c r="G104" s="18">
        <v>0.50277777777777777</v>
      </c>
      <c r="H104" s="18">
        <v>0</v>
      </c>
      <c r="I104" s="18"/>
      <c r="J104" s="18"/>
      <c r="K104" s="18">
        <f t="shared" si="25"/>
        <v>0.55076228481826228</v>
      </c>
      <c r="L104" s="18">
        <f t="shared" si="26"/>
        <v>0.45989689163010511</v>
      </c>
      <c r="M104" s="18"/>
      <c r="N104" s="18"/>
      <c r="R104" s="18"/>
    </row>
    <row r="105" spans="1:18">
      <c r="A105" s="13">
        <v>102</v>
      </c>
      <c r="B105">
        <v>51.5</v>
      </c>
      <c r="C105" s="5">
        <v>63566</v>
      </c>
      <c r="D105" s="18">
        <v>0.42749820729406318</v>
      </c>
      <c r="E105" s="18">
        <v>0.45424265881200709</v>
      </c>
      <c r="F105" s="18">
        <v>8.3346701275028908E-3</v>
      </c>
      <c r="G105" s="18">
        <v>0.51111111111111107</v>
      </c>
      <c r="H105" s="18">
        <v>0</v>
      </c>
      <c r="I105" s="18"/>
      <c r="J105" s="18"/>
      <c r="K105" s="18">
        <f t="shared" si="25"/>
        <v>0.55258340260429739</v>
      </c>
      <c r="L105" s="18">
        <f t="shared" si="26"/>
        <v>0.45794606770916091</v>
      </c>
      <c r="M105" s="18"/>
      <c r="N105" s="18"/>
    </row>
    <row r="106" spans="1:18">
      <c r="A106" s="13">
        <v>103</v>
      </c>
      <c r="B106">
        <v>52</v>
      </c>
      <c r="C106" s="5">
        <v>63747</v>
      </c>
      <c r="D106" s="18">
        <v>0.42526686220753063</v>
      </c>
      <c r="E106" s="18">
        <v>0.45233577293794869</v>
      </c>
      <c r="F106" s="18">
        <v>8.3847031627381999E-3</v>
      </c>
      <c r="G106" s="18">
        <v>0.50277777777777777</v>
      </c>
      <c r="H106" s="18">
        <v>0</v>
      </c>
      <c r="I106" s="18"/>
      <c r="J106" s="18"/>
      <c r="K106" s="18">
        <f t="shared" si="25"/>
        <v>0.55437617562992303</v>
      </c>
      <c r="L106" s="18">
        <f t="shared" si="26"/>
        <v>0.45602363512680721</v>
      </c>
      <c r="M106" s="18"/>
      <c r="N106" s="18"/>
    </row>
    <row r="107" spans="1:18">
      <c r="A107" s="13">
        <v>104</v>
      </c>
      <c r="B107">
        <v>52.5</v>
      </c>
      <c r="C107" s="5">
        <v>63933</v>
      </c>
      <c r="D107" s="18">
        <v>0.42300395048401113</v>
      </c>
      <c r="E107" s="18">
        <v>0.45037351900654238</v>
      </c>
      <c r="F107" s="18">
        <v>8.4328022734497608E-3</v>
      </c>
      <c r="G107" s="18">
        <v>0.51666666666666672</v>
      </c>
      <c r="H107" s="18">
        <v>0</v>
      </c>
      <c r="I107" s="18"/>
      <c r="J107" s="18"/>
      <c r="K107" s="18">
        <f t="shared" si="25"/>
        <v>0.55621918177883822</v>
      </c>
      <c r="L107" s="18">
        <f t="shared" si="26"/>
        <v>0.45404538307517361</v>
      </c>
      <c r="M107" s="18"/>
      <c r="N107" s="18"/>
    </row>
    <row r="108" spans="1:18">
      <c r="A108" s="13">
        <v>105</v>
      </c>
      <c r="B108">
        <v>53</v>
      </c>
      <c r="C108" s="5">
        <v>64112</v>
      </c>
      <c r="D108" s="18">
        <v>0.42085359185350152</v>
      </c>
      <c r="E108" s="18">
        <v>0.44848329287351291</v>
      </c>
      <c r="F108" s="18">
        <v>8.4771553101963201E-3</v>
      </c>
      <c r="G108" s="18">
        <v>0.49722222222222218</v>
      </c>
      <c r="H108" s="18">
        <v>0</v>
      </c>
      <c r="I108" s="18"/>
      <c r="J108" s="18"/>
      <c r="K108" s="18">
        <f t="shared" si="25"/>
        <v>0.55799309229472238</v>
      </c>
      <c r="L108" s="18">
        <f t="shared" si="26"/>
        <v>0.45213960109172441</v>
      </c>
      <c r="M108" s="18"/>
      <c r="N108" s="18"/>
    </row>
    <row r="109" spans="1:18">
      <c r="A109" s="13">
        <v>106</v>
      </c>
      <c r="B109">
        <v>53.5</v>
      </c>
      <c r="C109" s="5">
        <v>64297</v>
      </c>
      <c r="D109" s="18">
        <v>0.41865796586185228</v>
      </c>
      <c r="E109" s="18">
        <v>0.44652860355843721</v>
      </c>
      <c r="F109" s="18">
        <v>8.5184234961502292E-3</v>
      </c>
      <c r="G109" s="18">
        <v>0.51388888888888884</v>
      </c>
      <c r="H109" s="18">
        <v>0</v>
      </c>
      <c r="I109" s="18"/>
      <c r="J109" s="18"/>
      <c r="K109" s="18">
        <f t="shared" si="25"/>
        <v>0.55982577724708593</v>
      </c>
      <c r="L109" s="18">
        <f t="shared" si="26"/>
        <v>0.45016897596204802</v>
      </c>
      <c r="M109" s="18"/>
      <c r="N109" s="18"/>
    </row>
    <row r="110" spans="1:18">
      <c r="A110" s="13">
        <v>107</v>
      </c>
      <c r="B110">
        <v>54</v>
      </c>
      <c r="C110" s="5">
        <v>64479</v>
      </c>
      <c r="D110" s="18">
        <v>0.41652316909722831</v>
      </c>
      <c r="E110" s="18">
        <v>0.44460526621556679</v>
      </c>
      <c r="F110" s="18">
        <v>8.5568116809111999E-3</v>
      </c>
      <c r="G110" s="18">
        <v>0.50555555555555554</v>
      </c>
      <c r="H110" s="18">
        <v>0</v>
      </c>
      <c r="I110" s="18"/>
      <c r="J110" s="18"/>
      <c r="K110" s="18">
        <f t="shared" si="25"/>
        <v>0.56162763301931828</v>
      </c>
      <c r="L110" s="18">
        <f t="shared" si="26"/>
        <v>0.44822995840489793</v>
      </c>
      <c r="M110" s="18"/>
      <c r="N110" s="18"/>
    </row>
    <row r="111" spans="1:18">
      <c r="A111" s="13">
        <v>108</v>
      </c>
      <c r="B111">
        <v>54.5</v>
      </c>
      <c r="C111" s="5">
        <v>64662</v>
      </c>
      <c r="D111" s="18">
        <v>0.41440051403291073</v>
      </c>
      <c r="E111" s="18">
        <v>0.44267175799546321</v>
      </c>
      <c r="F111" s="18">
        <v>8.5926166609796902E-3</v>
      </c>
      <c r="G111" s="18">
        <v>0.5083333333333333</v>
      </c>
      <c r="H111" s="18">
        <v>0</v>
      </c>
      <c r="I111" s="18"/>
      <c r="J111" s="18"/>
      <c r="K111" s="18">
        <f t="shared" si="25"/>
        <v>0.56343769860626047</v>
      </c>
      <c r="L111" s="18">
        <f t="shared" si="26"/>
        <v>0.446280643172483</v>
      </c>
      <c r="M111" s="18"/>
      <c r="N111" s="18"/>
    </row>
    <row r="112" spans="1:18">
      <c r="A112" s="13">
        <v>109</v>
      </c>
      <c r="B112">
        <v>55</v>
      </c>
      <c r="C112" s="5">
        <v>64843</v>
      </c>
      <c r="D112" s="18">
        <v>0.41232330304732701</v>
      </c>
      <c r="E112" s="18">
        <v>0.4407604879776853</v>
      </c>
      <c r="F112" s="18">
        <v>8.6246864987292293E-3</v>
      </c>
      <c r="G112" s="18">
        <v>0.50277777777777777</v>
      </c>
      <c r="H112" s="18">
        <v>0</v>
      </c>
      <c r="I112" s="18"/>
      <c r="J112" s="18"/>
      <c r="K112" s="18">
        <f t="shared" si="25"/>
        <v>0.56522565643878153</v>
      </c>
      <c r="L112" s="18">
        <f t="shared" si="26"/>
        <v>0.44435379151003984</v>
      </c>
      <c r="M112" s="18"/>
      <c r="N112" s="18"/>
    </row>
    <row r="113" spans="1:14">
      <c r="A113" s="13">
        <v>110</v>
      </c>
      <c r="B113">
        <v>55.5</v>
      </c>
      <c r="C113" s="5">
        <v>65027</v>
      </c>
      <c r="D113" s="18">
        <v>0.41023303462068861</v>
      </c>
      <c r="E113" s="18">
        <v>0.43881938792169117</v>
      </c>
      <c r="F113" s="18">
        <v>8.6545958585986602E-3</v>
      </c>
      <c r="G113" s="18">
        <v>0.51111111111111107</v>
      </c>
      <c r="H113" s="18">
        <v>0</v>
      </c>
      <c r="I113" s="18"/>
      <c r="J113" s="18"/>
      <c r="K113" s="18">
        <f t="shared" si="25"/>
        <v>0.56704030590138677</v>
      </c>
      <c r="L113" s="18">
        <f t="shared" si="26"/>
        <v>0.44239686661974653</v>
      </c>
      <c r="M113" s="18"/>
      <c r="N113" s="18"/>
    </row>
    <row r="114" spans="1:14">
      <c r="A114" s="13">
        <v>111</v>
      </c>
      <c r="B114">
        <v>56</v>
      </c>
      <c r="C114" s="5">
        <v>65208</v>
      </c>
      <c r="D114" s="18">
        <v>0.40819661459807471</v>
      </c>
      <c r="E114" s="18">
        <v>0.43691244865275902</v>
      </c>
      <c r="F114" s="18">
        <v>8.6809322952843097E-3</v>
      </c>
      <c r="G114" s="18">
        <v>0.50277777777777777</v>
      </c>
      <c r="H114" s="18">
        <v>0</v>
      </c>
      <c r="I114" s="18"/>
      <c r="J114" s="18"/>
      <c r="K114" s="18">
        <f t="shared" si="25"/>
        <v>0.56882191261967208</v>
      </c>
      <c r="L114" s="18">
        <f t="shared" si="26"/>
        <v>0.44047438101261494</v>
      </c>
      <c r="M114" s="18"/>
      <c r="N114" s="18"/>
    </row>
    <row r="115" spans="1:14">
      <c r="A115" s="13">
        <v>112</v>
      </c>
      <c r="B115">
        <v>56.5</v>
      </c>
      <c r="C115" s="5">
        <v>65392</v>
      </c>
      <c r="D115" s="18">
        <v>0.40614527843017612</v>
      </c>
      <c r="E115" s="18">
        <v>0.43497715428004807</v>
      </c>
      <c r="F115" s="18">
        <v>8.7049296142755594E-3</v>
      </c>
      <c r="G115" s="18">
        <v>0.51111111111111107</v>
      </c>
      <c r="H115" s="18">
        <v>0</v>
      </c>
      <c r="I115" s="18"/>
      <c r="J115" s="18"/>
      <c r="K115" s="18">
        <f t="shared" si="25"/>
        <v>0.57062892860686798</v>
      </c>
      <c r="L115" s="18">
        <f t="shared" si="26"/>
        <v>0.43852330913648596</v>
      </c>
      <c r="M115" s="18"/>
      <c r="N115" s="18"/>
    </row>
    <row r="116" spans="1:14">
      <c r="A116" s="13">
        <v>113</v>
      </c>
      <c r="B116">
        <v>57</v>
      </c>
      <c r="C116" s="5">
        <v>65573</v>
      </c>
      <c r="D116" s="18">
        <v>0.40414470883480152</v>
      </c>
      <c r="E116" s="18">
        <v>0.43307728307130727</v>
      </c>
      <c r="F116" s="18">
        <v>8.7253465216486307E-3</v>
      </c>
      <c r="G116" s="18">
        <v>0.50277777777777777</v>
      </c>
      <c r="H116" s="18">
        <v>0</v>
      </c>
      <c r="I116" s="18"/>
      <c r="J116" s="18"/>
      <c r="K116" s="18">
        <f t="shared" si="25"/>
        <v>0.57240187520668706</v>
      </c>
      <c r="L116" s="18">
        <f t="shared" si="26"/>
        <v>0.43660794921196505</v>
      </c>
      <c r="M116" s="18"/>
      <c r="N116" s="18"/>
    </row>
    <row r="117" spans="1:14">
      <c r="A117" s="13">
        <v>114</v>
      </c>
      <c r="B117">
        <v>57.5</v>
      </c>
      <c r="C117" s="5">
        <v>65757</v>
      </c>
      <c r="D117" s="18">
        <v>0.40212737607779281</v>
      </c>
      <c r="E117" s="18">
        <v>0.43115052977559809</v>
      </c>
      <c r="F117" s="18">
        <v>8.7434305391164303E-3</v>
      </c>
      <c r="G117" s="18">
        <v>0.51111111111111107</v>
      </c>
      <c r="H117" s="18">
        <v>0</v>
      </c>
      <c r="I117" s="18"/>
      <c r="J117" s="18"/>
      <c r="K117" s="18">
        <f t="shared" si="25"/>
        <v>0.57419892796122274</v>
      </c>
      <c r="L117" s="18">
        <f t="shared" si="26"/>
        <v>0.43466548804403893</v>
      </c>
      <c r="M117" s="18"/>
      <c r="N117" s="18"/>
    </row>
    <row r="118" spans="1:14">
      <c r="A118" s="13">
        <v>115</v>
      </c>
      <c r="B118">
        <v>58</v>
      </c>
      <c r="C118" s="5">
        <v>65939</v>
      </c>
      <c r="D118" s="18">
        <v>0.40014705654540328</v>
      </c>
      <c r="E118" s="18">
        <v>0.42924994370055652</v>
      </c>
      <c r="F118" s="18">
        <v>8.7580699374005203E-3</v>
      </c>
      <c r="G118" s="18">
        <v>0.50555555555555554</v>
      </c>
      <c r="H118" s="18">
        <v>0</v>
      </c>
      <c r="I118" s="18"/>
      <c r="J118" s="18"/>
      <c r="K118" s="18">
        <f t="shared" si="25"/>
        <v>0.57597065544727122</v>
      </c>
      <c r="L118" s="18">
        <f t="shared" si="26"/>
        <v>0.43274940742526385</v>
      </c>
      <c r="M118" s="18"/>
      <c r="N118" s="18"/>
    </row>
    <row r="119" spans="1:14">
      <c r="A119" s="13">
        <v>116</v>
      </c>
      <c r="B119">
        <v>58.5</v>
      </c>
      <c r="C119" s="5">
        <v>66124</v>
      </c>
      <c r="D119" s="18">
        <v>0.39814828570278787</v>
      </c>
      <c r="E119" s="18">
        <v>0.42732401412408821</v>
      </c>
      <c r="F119" s="18">
        <v>8.77028841729857E-3</v>
      </c>
      <c r="G119" s="18">
        <v>0.51388888888888884</v>
      </c>
      <c r="H119" s="18">
        <v>0</v>
      </c>
      <c r="I119" s="18"/>
      <c r="J119" s="18"/>
      <c r="K119" s="18">
        <f t="shared" si="25"/>
        <v>0.57776509136453869</v>
      </c>
      <c r="L119" s="18">
        <f t="shared" si="26"/>
        <v>0.43080777669195647</v>
      </c>
      <c r="M119" s="18"/>
      <c r="N119" s="18"/>
    </row>
    <row r="120" spans="1:14">
      <c r="A120" s="13">
        <v>117</v>
      </c>
      <c r="B120">
        <v>59</v>
      </c>
      <c r="C120" s="5">
        <v>66306</v>
      </c>
      <c r="D120" s="18">
        <v>0.39619474870736199</v>
      </c>
      <c r="E120" s="18">
        <v>0.42543583897085763</v>
      </c>
      <c r="F120" s="18">
        <v>8.7788841684794394E-3</v>
      </c>
      <c r="G120" s="18">
        <v>0.50555555555555554</v>
      </c>
      <c r="H120" s="18">
        <v>0</v>
      </c>
      <c r="I120" s="18"/>
      <c r="J120" s="18"/>
      <c r="K120" s="18">
        <f t="shared" si="25"/>
        <v>0.57952348831144218</v>
      </c>
      <c r="L120" s="18">
        <f t="shared" si="26"/>
        <v>0.42890420817513536</v>
      </c>
      <c r="M120" s="18"/>
      <c r="N120" s="18"/>
    </row>
    <row r="121" spans="1:14">
      <c r="A121" s="13">
        <v>118</v>
      </c>
      <c r="B121">
        <v>59.5</v>
      </c>
      <c r="C121" s="5">
        <v>66488</v>
      </c>
      <c r="D121" s="18">
        <v>0.39425281878583501</v>
      </c>
      <c r="E121" s="18">
        <v>0.4235547524322909</v>
      </c>
      <c r="F121" s="18">
        <v>8.7850042128156895E-3</v>
      </c>
      <c r="G121" s="18">
        <v>0.50555555555555554</v>
      </c>
      <c r="H121" s="18">
        <v>0</v>
      </c>
      <c r="I121" s="18"/>
      <c r="J121" s="18"/>
      <c r="K121" s="18">
        <f t="shared" si="25"/>
        <v>0.58127448638549373</v>
      </c>
      <c r="L121" s="18">
        <f>(L122*(H122/100*J122-K121+D122))/D122</f>
        <v>0.4270077354380229</v>
      </c>
      <c r="M121" s="18"/>
      <c r="N121" s="18"/>
    </row>
    <row r="122" spans="1:14">
      <c r="A122" s="13">
        <v>119</v>
      </c>
      <c r="B122">
        <v>60</v>
      </c>
      <c r="C122" s="5">
        <v>66670</v>
      </c>
      <c r="D122" s="18">
        <v>0.39232141315840419</v>
      </c>
      <c r="E122" s="18">
        <v>0.42168135874896218</v>
      </c>
      <c r="F122" s="18">
        <v>8.7877109154303693E-3</v>
      </c>
      <c r="G122" s="18">
        <v>0.50555555555555554</v>
      </c>
      <c r="H122" s="18">
        <v>1.6090827239581564</v>
      </c>
      <c r="I122" s="18">
        <v>0.99722222222222223</v>
      </c>
      <c r="J122" s="18">
        <v>36.236229389371289</v>
      </c>
      <c r="K122" s="18">
        <f t="shared" si="25"/>
        <v>0.58301744334101591</v>
      </c>
      <c r="L122" s="19">
        <f>(D122*R103)/(H122/100*J122-K121+D122)</f>
        <v>0.42506140010883897</v>
      </c>
      <c r="M122" s="19">
        <v>0.42506140010883903</v>
      </c>
      <c r="N122" s="18">
        <f>L122</f>
        <v>0.42506140010883897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ADDF-1C63-4F25-AAC6-42DB872DD8DB}">
  <sheetPr codeName="Sheet9"/>
  <dimension ref="A1:Q122"/>
  <sheetViews>
    <sheetView topLeftCell="B1" zoomScaleNormal="100" workbookViewId="0">
      <pane ySplit="1" topLeftCell="A96" activePane="bottomLeft" state="frozen"/>
      <selection pane="bottomLeft" activeCell="N108" sqref="N108"/>
    </sheetView>
  </sheetViews>
  <sheetFormatPr defaultRowHeight="14.4"/>
  <cols>
    <col min="2" max="3" width="10.77734375" bestFit="1" customWidth="1"/>
    <col min="14" max="14" width="10.5546875" bestFit="1" customWidth="1"/>
    <col min="16" max="16" width="10.5546875" bestFit="1" customWidth="1"/>
  </cols>
  <sheetData>
    <row r="1" spans="1:14">
      <c r="B1" s="1" t="s">
        <v>0</v>
      </c>
      <c r="C1" s="1" t="s">
        <v>1</v>
      </c>
      <c r="D1" s="1" t="s">
        <v>2</v>
      </c>
      <c r="E1" s="1" t="s">
        <v>3</v>
      </c>
      <c r="F1" s="1" t="s">
        <v>23</v>
      </c>
      <c r="G1" s="1" t="s">
        <v>4</v>
      </c>
      <c r="H1" s="1" t="s">
        <v>22</v>
      </c>
      <c r="I1" s="2" t="s">
        <v>5</v>
      </c>
      <c r="J1" s="2" t="s">
        <v>6</v>
      </c>
      <c r="K1" s="2" t="s">
        <v>7</v>
      </c>
      <c r="L1" s="12" t="s">
        <v>19</v>
      </c>
      <c r="N1" s="23" t="s">
        <v>20</v>
      </c>
    </row>
    <row r="2" spans="1:14">
      <c r="B2">
        <v>0</v>
      </c>
      <c r="C2" s="5">
        <v>44754</v>
      </c>
      <c r="E2">
        <v>1</v>
      </c>
      <c r="F2">
        <v>0</v>
      </c>
      <c r="G2">
        <v>0</v>
      </c>
      <c r="H2">
        <v>0</v>
      </c>
      <c r="L2">
        <f>L3*(1+H3/100*G3)</f>
        <v>1.0000000001112488</v>
      </c>
    </row>
    <row r="3" spans="1:14">
      <c r="A3" s="13">
        <v>0</v>
      </c>
      <c r="B3">
        <v>0.5</v>
      </c>
      <c r="C3" s="5">
        <v>44938</v>
      </c>
      <c r="D3" s="18">
        <v>0.99904288423151055</v>
      </c>
      <c r="E3" s="18">
        <v>0.99801063213993446</v>
      </c>
      <c r="F3" s="18">
        <v>3.89999999999991E-3</v>
      </c>
      <c r="G3" s="18">
        <v>0.51111111111111107</v>
      </c>
      <c r="H3" s="18">
        <v>0.38999924811852354</v>
      </c>
      <c r="I3" s="18"/>
      <c r="J3" s="18"/>
      <c r="K3" s="18">
        <f>F3*G3*D3</f>
        <v>1.9914254825680981E-3</v>
      </c>
      <c r="L3" s="18">
        <f>L4*(1+H4/100*G4)</f>
        <v>0.99801063607863671</v>
      </c>
      <c r="M3" s="18"/>
      <c r="N3" s="18">
        <f t="shared" ref="N3:N5" si="0">L3</f>
        <v>0.99801063607863671</v>
      </c>
    </row>
    <row r="4" spans="1:14">
      <c r="A4" s="13">
        <v>1</v>
      </c>
      <c r="B4">
        <v>1</v>
      </c>
      <c r="C4" s="5">
        <v>45119</v>
      </c>
      <c r="D4" s="18">
        <v>0.99324592130854139</v>
      </c>
      <c r="E4" s="18">
        <v>0.99104474380986662</v>
      </c>
      <c r="F4" s="18">
        <v>1.3979999999904E-2</v>
      </c>
      <c r="G4" s="18">
        <v>0.50277777777777777</v>
      </c>
      <c r="H4" s="18">
        <v>1.3979905437662714</v>
      </c>
      <c r="I4" s="18">
        <v>1</v>
      </c>
      <c r="J4" s="18">
        <v>0.99324592130854139</v>
      </c>
      <c r="K4" s="18">
        <f t="shared" ref="K4:K35" si="1">K3+(F4*G4*D4)</f>
        <v>8.9727855224110108E-3</v>
      </c>
      <c r="L4" s="18">
        <f>L5*(1+H5/100*G5)</f>
        <v>0.99104479451023364</v>
      </c>
      <c r="M4" s="18"/>
      <c r="N4" s="18">
        <f t="shared" si="0"/>
        <v>0.99104479451023364</v>
      </c>
    </row>
    <row r="5" spans="1:14">
      <c r="A5" s="13">
        <v>2</v>
      </c>
      <c r="B5">
        <v>1.5</v>
      </c>
      <c r="C5" s="5">
        <v>45303</v>
      </c>
      <c r="D5" s="18">
        <v>0.9860284425870447</v>
      </c>
      <c r="E5" s="18">
        <v>0.98259746260138792</v>
      </c>
      <c r="F5" s="18">
        <v>1.6819999999980999E-2</v>
      </c>
      <c r="G5" s="18">
        <v>0.51111111111111107</v>
      </c>
      <c r="H5" s="18">
        <v>1.6819861062539951</v>
      </c>
      <c r="I5" s="18"/>
      <c r="J5" s="18"/>
      <c r="K5" s="18">
        <f t="shared" si="1"/>
        <v>1.7449562484606416E-2</v>
      </c>
      <c r="L5" s="18">
        <f>(L6*(H6/100*J6-K5+D6)/D6)</f>
        <v>0.98259758205153647</v>
      </c>
      <c r="M5" s="18"/>
      <c r="N5" s="18">
        <f t="shared" si="0"/>
        <v>0.98259758205153647</v>
      </c>
    </row>
    <row r="6" spans="1:14">
      <c r="A6" s="13">
        <v>3</v>
      </c>
      <c r="B6">
        <v>2</v>
      </c>
      <c r="C6" s="5">
        <v>45485</v>
      </c>
      <c r="D6" s="18">
        <v>0.97878176388692029</v>
      </c>
      <c r="E6" s="18">
        <v>0.97444692296927427</v>
      </c>
      <c r="F6" s="18">
        <v>1.6544714899334002E-2</v>
      </c>
      <c r="G6" s="18">
        <v>0.50555555555555554</v>
      </c>
      <c r="H6" s="18">
        <v>1.2999672760263072</v>
      </c>
      <c r="I6" s="18">
        <v>1</v>
      </c>
      <c r="J6" s="18">
        <v>1.9720276851954619</v>
      </c>
      <c r="K6" s="18">
        <f t="shared" si="1"/>
        <v>2.5636359907540013E-2</v>
      </c>
      <c r="L6" s="18">
        <f>L7*(1+F7*G7)</f>
        <v>0.97444767856768277</v>
      </c>
      <c r="M6" s="18"/>
      <c r="N6" s="18">
        <f>L6</f>
        <v>0.97444767856768277</v>
      </c>
    </row>
    <row r="7" spans="1:14">
      <c r="A7" s="13">
        <v>4</v>
      </c>
      <c r="B7">
        <v>2.5</v>
      </c>
      <c r="C7" s="5">
        <v>45670</v>
      </c>
      <c r="D7" s="18">
        <v>0.9715063307647499</v>
      </c>
      <c r="E7" s="18">
        <v>0.96605078949251333</v>
      </c>
      <c r="F7" s="18">
        <v>1.69125910132602E-2</v>
      </c>
      <c r="G7" s="18">
        <v>0.51388888888888884</v>
      </c>
      <c r="H7" s="18">
        <v>0</v>
      </c>
      <c r="I7" s="18"/>
      <c r="J7" s="18"/>
      <c r="K7" s="18">
        <f t="shared" si="1"/>
        <v>3.4079908544257236E-2</v>
      </c>
      <c r="L7" s="18">
        <f>(L8*(H8/100*J8-K7+D8)/D8)</f>
        <v>0.96605153858045423</v>
      </c>
      <c r="M7" s="18"/>
      <c r="N7" s="18"/>
    </row>
    <row r="8" spans="1:14">
      <c r="A8" s="13">
        <v>5</v>
      </c>
      <c r="B8">
        <v>3</v>
      </c>
      <c r="C8" s="5">
        <v>45852</v>
      </c>
      <c r="D8" s="18">
        <v>0.96404622206233692</v>
      </c>
      <c r="E8" s="18">
        <v>0.95729638500968794</v>
      </c>
      <c r="F8" s="18">
        <v>1.8088864371244101E-2</v>
      </c>
      <c r="G8" s="18">
        <v>0.50555555555555554</v>
      </c>
      <c r="H8" s="18">
        <v>1.4609374622625997</v>
      </c>
      <c r="I8" s="18">
        <v>1.005555555555556</v>
      </c>
      <c r="J8" s="18">
        <v>2.9414297196025889</v>
      </c>
      <c r="K8" s="18">
        <f t="shared" si="1"/>
        <v>4.2896039786607928E-2</v>
      </c>
      <c r="L8" s="18">
        <f>L9*(1+F9*G9)</f>
        <v>0.9572219467985752</v>
      </c>
      <c r="M8" s="18"/>
      <c r="N8" s="18">
        <f t="shared" ref="N8" si="2">L8</f>
        <v>0.9572219467985752</v>
      </c>
    </row>
    <row r="9" spans="1:14">
      <c r="A9" s="13">
        <v>6</v>
      </c>
      <c r="B9">
        <v>3.5</v>
      </c>
      <c r="C9" s="5">
        <v>46034</v>
      </c>
      <c r="D9" s="18">
        <v>0.95592389246503651</v>
      </c>
      <c r="E9" s="18">
        <v>0.94796491452005915</v>
      </c>
      <c r="F9" s="18">
        <v>1.9479741902559099E-2</v>
      </c>
      <c r="G9" s="18">
        <v>0.50555555555555554</v>
      </c>
      <c r="H9" s="18">
        <v>0</v>
      </c>
      <c r="I9" s="18"/>
      <c r="J9" s="18"/>
      <c r="K9" s="18">
        <f t="shared" si="1"/>
        <v>5.2310065975705033E-2</v>
      </c>
      <c r="L9" s="18">
        <f>(L10*(H10/100*J10-K9+D10)/D10)</f>
        <v>0.94788706799416256</v>
      </c>
      <c r="M9" s="18"/>
      <c r="N9" s="18"/>
    </row>
    <row r="10" spans="1:14">
      <c r="A10" s="13">
        <v>7</v>
      </c>
      <c r="B10">
        <v>4</v>
      </c>
      <c r="C10" s="5">
        <v>46216</v>
      </c>
      <c r="D10" s="18">
        <v>0.94713494159022615</v>
      </c>
      <c r="E10" s="18">
        <v>0.93807952562658103</v>
      </c>
      <c r="F10" s="18">
        <v>2.0844199194661701E-2</v>
      </c>
      <c r="G10" s="18">
        <v>0.50555555555555554</v>
      </c>
      <c r="H10" s="18">
        <v>1.6038987742064037</v>
      </c>
      <c r="I10" s="18">
        <v>0.99722222222222223</v>
      </c>
      <c r="J10" s="18">
        <v>3.885933730799509</v>
      </c>
      <c r="K10" s="18">
        <f t="shared" si="1"/>
        <v>6.2290879943441235E-2</v>
      </c>
      <c r="L10" s="18">
        <f>L11*(1+F11*G11)</f>
        <v>0.93796763884001177</v>
      </c>
      <c r="M10" s="18"/>
      <c r="N10" s="18">
        <f t="shared" ref="N10" si="3">L10</f>
        <v>0.93796763884001177</v>
      </c>
    </row>
    <row r="11" spans="1:14">
      <c r="A11" s="13">
        <v>8</v>
      </c>
      <c r="B11">
        <v>4.5</v>
      </c>
      <c r="C11" s="5">
        <v>46399</v>
      </c>
      <c r="D11" s="18">
        <v>0.9377546742182391</v>
      </c>
      <c r="E11" s="18">
        <v>0.92766793341618325</v>
      </c>
      <c r="F11" s="18">
        <v>2.2082122249332401E-2</v>
      </c>
      <c r="G11" s="18">
        <v>0.5083333333333333</v>
      </c>
      <c r="H11" s="18">
        <v>0</v>
      </c>
      <c r="I11" s="18"/>
      <c r="J11" s="18"/>
      <c r="K11" s="18">
        <f t="shared" si="1"/>
        <v>7.2817250066059339E-2</v>
      </c>
      <c r="L11" s="18">
        <f>(L12*(H12/100*J12-K11+D12)/D12)</f>
        <v>0.92755575241837485</v>
      </c>
      <c r="M11" s="18"/>
      <c r="N11" s="18"/>
    </row>
    <row r="12" spans="1:14">
      <c r="A12" s="13">
        <v>9</v>
      </c>
      <c r="B12">
        <v>5</v>
      </c>
      <c r="C12" s="5">
        <v>46580</v>
      </c>
      <c r="D12" s="18">
        <v>0.92824283734542401</v>
      </c>
      <c r="E12" s="18">
        <v>0.91712844122432902</v>
      </c>
      <c r="F12" s="18">
        <v>2.2856695926326401E-2</v>
      </c>
      <c r="G12" s="18">
        <v>0.50277777777777777</v>
      </c>
      <c r="H12" s="18">
        <v>1.734850502093169</v>
      </c>
      <c r="I12" s="18">
        <v>0.99722222222222223</v>
      </c>
      <c r="J12" s="18">
        <v>4.811598115818974</v>
      </c>
      <c r="K12" s="18">
        <f t="shared" si="1"/>
        <v>8.3484467106331728E-2</v>
      </c>
      <c r="L12" s="18">
        <f>L13*(1+F13*G13)</f>
        <v>0.91702772462788762</v>
      </c>
      <c r="M12" s="18"/>
      <c r="N12" s="18">
        <f t="shared" ref="N12" si="4">L12</f>
        <v>0.91702772462788762</v>
      </c>
    </row>
    <row r="13" spans="1:14">
      <c r="A13" s="13">
        <v>10</v>
      </c>
      <c r="B13">
        <v>5.5</v>
      </c>
      <c r="C13" s="5">
        <v>46764</v>
      </c>
      <c r="D13" s="18">
        <v>0.9185963965955859</v>
      </c>
      <c r="E13" s="18">
        <v>0.90637502877283138</v>
      </c>
      <c r="F13" s="18">
        <v>2.3212560544255901E-2</v>
      </c>
      <c r="G13" s="18">
        <v>0.51111111111111107</v>
      </c>
      <c r="H13" s="18">
        <v>0</v>
      </c>
      <c r="I13" s="18"/>
      <c r="J13" s="18"/>
      <c r="K13" s="18">
        <f t="shared" si="1"/>
        <v>9.438287628076146E-2</v>
      </c>
      <c r="L13" s="18">
        <f>(L14*(H14/100*J14-K13+D14)/D14)</f>
        <v>0.90627549308743094</v>
      </c>
      <c r="M13" s="18"/>
      <c r="N13" s="18"/>
    </row>
    <row r="14" spans="1:14">
      <c r="A14" s="13">
        <v>11</v>
      </c>
      <c r="B14">
        <v>6</v>
      </c>
      <c r="C14" s="5">
        <v>46946</v>
      </c>
      <c r="D14" s="18">
        <v>0.90901718303320767</v>
      </c>
      <c r="E14" s="18">
        <v>0.89571111788568369</v>
      </c>
      <c r="F14" s="18">
        <v>2.3549389624901301E-2</v>
      </c>
      <c r="G14" s="18">
        <v>0.50555555555555554</v>
      </c>
      <c r="H14" s="18">
        <v>1.8387961716179948</v>
      </c>
      <c r="I14" s="18">
        <v>1</v>
      </c>
      <c r="J14" s="18">
        <v>5.7206152988521817</v>
      </c>
      <c r="K14" s="18">
        <f t="shared" si="1"/>
        <v>0.10520520285591206</v>
      </c>
      <c r="L14" s="18">
        <f>L15*(1+F15*G15)</f>
        <v>0.89562711283380159</v>
      </c>
      <c r="M14" s="18"/>
      <c r="N14" s="18">
        <f t="shared" ref="N14" si="5">L14</f>
        <v>0.89562711283380159</v>
      </c>
    </row>
    <row r="15" spans="1:14">
      <c r="A15" s="13">
        <v>12</v>
      </c>
      <c r="B15">
        <v>6.5</v>
      </c>
      <c r="C15" s="5">
        <v>47130</v>
      </c>
      <c r="D15" s="18">
        <v>0.89917826917514665</v>
      </c>
      <c r="E15" s="18">
        <v>0.88485868785708344</v>
      </c>
      <c r="F15" s="18">
        <v>2.39959391987998E-2</v>
      </c>
      <c r="G15" s="18">
        <v>0.51111111111111107</v>
      </c>
      <c r="H15" s="18">
        <v>0</v>
      </c>
      <c r="I15" s="18"/>
      <c r="J15" s="18"/>
      <c r="K15" s="18">
        <f t="shared" si="1"/>
        <v>0.11623325669476103</v>
      </c>
      <c r="L15" s="18">
        <f>(L16*(H16/100*J16-K15+D16)/D16)</f>
        <v>0.88477570060985888</v>
      </c>
      <c r="M15" s="18"/>
      <c r="N15" s="18"/>
    </row>
    <row r="16" spans="1:14">
      <c r="A16" s="13">
        <v>13</v>
      </c>
      <c r="B16">
        <v>7</v>
      </c>
      <c r="C16" s="5">
        <v>47311</v>
      </c>
      <c r="D16" s="18">
        <v>0.8893123052047649</v>
      </c>
      <c r="E16" s="18">
        <v>0.8740370041426615</v>
      </c>
      <c r="F16" s="18">
        <v>2.4625720319847801E-2</v>
      </c>
      <c r="G16" s="18">
        <v>0.50277777777777777</v>
      </c>
      <c r="H16" s="18">
        <v>1.924736348695699</v>
      </c>
      <c r="I16" s="18">
        <v>1</v>
      </c>
      <c r="J16" s="18">
        <v>6.6099276040569466</v>
      </c>
      <c r="K16" s="18">
        <f t="shared" si="1"/>
        <v>0.12724406795864956</v>
      </c>
      <c r="L16" s="18">
        <f>L17*(1+F17*G17)</f>
        <v>0.87397482387329462</v>
      </c>
      <c r="M16" s="18"/>
      <c r="N16" s="18">
        <f t="shared" ref="N16" si="6">L16</f>
        <v>0.87397482387329462</v>
      </c>
    </row>
    <row r="17" spans="1:14">
      <c r="A17" s="13">
        <v>14</v>
      </c>
      <c r="B17">
        <v>7.5</v>
      </c>
      <c r="C17" s="5">
        <v>47497</v>
      </c>
      <c r="D17" s="18">
        <v>0.87897161571716564</v>
      </c>
      <c r="E17" s="18">
        <v>0.86271292715050496</v>
      </c>
      <c r="F17" s="18">
        <v>2.5405401590895899E-2</v>
      </c>
      <c r="G17" s="18">
        <v>0.51666666666666672</v>
      </c>
      <c r="H17" s="18">
        <v>0</v>
      </c>
      <c r="I17" s="18"/>
      <c r="J17" s="18"/>
      <c r="K17" s="18">
        <f t="shared" si="1"/>
        <v>0.13878155851553439</v>
      </c>
      <c r="L17" s="18">
        <f>(L18*(H18/100*J18-K17+D18)/D18)</f>
        <v>0.86265155249251879</v>
      </c>
      <c r="M17" s="18"/>
      <c r="N17" s="18"/>
    </row>
    <row r="18" spans="1:14">
      <c r="A18" s="13">
        <v>15</v>
      </c>
      <c r="B18">
        <v>8</v>
      </c>
      <c r="C18" s="5">
        <v>47676</v>
      </c>
      <c r="D18" s="18">
        <v>0.86884980767765363</v>
      </c>
      <c r="E18" s="18">
        <v>0.85168947472002765</v>
      </c>
      <c r="F18" s="18">
        <v>2.6037552195365E-2</v>
      </c>
      <c r="G18" s="18">
        <v>0.49722222222222218</v>
      </c>
      <c r="H18" s="18">
        <v>2.0056686153404302</v>
      </c>
      <c r="I18" s="18">
        <v>1</v>
      </c>
      <c r="J18" s="18">
        <v>7.4787774117346002</v>
      </c>
      <c r="K18" s="18">
        <f t="shared" si="1"/>
        <v>0.15003007872915611</v>
      </c>
      <c r="L18" s="18">
        <f>L19*(1+F19*G19)</f>
        <v>0.85165561804675471</v>
      </c>
      <c r="M18" s="18"/>
      <c r="N18" s="18">
        <f t="shared" ref="N18" si="7">L18</f>
        <v>0.85165561804675471</v>
      </c>
    </row>
    <row r="19" spans="1:14">
      <c r="A19" s="13">
        <v>16</v>
      </c>
      <c r="B19">
        <v>8.5</v>
      </c>
      <c r="C19" s="5">
        <v>47861</v>
      </c>
      <c r="D19" s="18">
        <v>0.85822803261302394</v>
      </c>
      <c r="E19" s="18">
        <v>0.84022535250532049</v>
      </c>
      <c r="F19" s="18">
        <v>2.6550689146691599E-2</v>
      </c>
      <c r="G19" s="18">
        <v>0.51388888888888884</v>
      </c>
      <c r="H19" s="18">
        <v>0</v>
      </c>
      <c r="I19" s="18"/>
      <c r="J19" s="18"/>
      <c r="K19" s="18">
        <f t="shared" si="1"/>
        <v>0.16173983138613873</v>
      </c>
      <c r="L19" s="18">
        <f>(L20*(H20/100*J20-K19+D20)/D20)</f>
        <v>0.84019195155805071</v>
      </c>
      <c r="M19" s="18"/>
      <c r="N19" s="18"/>
    </row>
    <row r="20" spans="1:14">
      <c r="A20" s="13">
        <v>17</v>
      </c>
      <c r="B20">
        <v>9</v>
      </c>
      <c r="C20" s="5">
        <v>48043</v>
      </c>
      <c r="D20" s="18">
        <v>0.84757139217307043</v>
      </c>
      <c r="E20" s="18">
        <v>0.82878111312407454</v>
      </c>
      <c r="F20" s="18">
        <v>2.73135531920118E-2</v>
      </c>
      <c r="G20" s="18">
        <v>0.50555555555555554</v>
      </c>
      <c r="H20" s="18">
        <v>2.0825923687335859</v>
      </c>
      <c r="I20" s="18">
        <v>1.005555555555556</v>
      </c>
      <c r="J20" s="18">
        <v>8.3310575338641879</v>
      </c>
      <c r="K20" s="18">
        <f t="shared" si="1"/>
        <v>0.1734435366843462</v>
      </c>
      <c r="L20" s="18">
        <f>L21*(1+F21*G21)</f>
        <v>0.82869181506206924</v>
      </c>
      <c r="M20" s="18"/>
      <c r="N20" s="18">
        <f t="shared" ref="N20" si="8">L20</f>
        <v>0.82869181506206924</v>
      </c>
    </row>
    <row r="21" spans="1:14">
      <c r="A21" s="13">
        <v>18</v>
      </c>
      <c r="B21">
        <v>9.5</v>
      </c>
      <c r="C21" s="5">
        <v>48225</v>
      </c>
      <c r="D21" s="18">
        <v>0.83669069416023167</v>
      </c>
      <c r="E21" s="18">
        <v>0.81711882271219038</v>
      </c>
      <c r="F21" s="18">
        <v>2.8236771671545199E-2</v>
      </c>
      <c r="G21" s="18">
        <v>0.50555555555555554</v>
      </c>
      <c r="H21" s="18">
        <v>0</v>
      </c>
      <c r="I21" s="18"/>
      <c r="J21" s="18"/>
      <c r="K21" s="18">
        <f t="shared" si="1"/>
        <v>0.18538751119687136</v>
      </c>
      <c r="L21" s="18">
        <f>(L22*(H22/100*J22-K21+D22)/D22)</f>
        <v>0.81702852309060214</v>
      </c>
      <c r="M21" s="18"/>
      <c r="N21" s="18"/>
    </row>
    <row r="22" spans="1:14">
      <c r="A22" s="13">
        <v>19</v>
      </c>
      <c r="B22">
        <v>10</v>
      </c>
      <c r="C22" s="5">
        <v>48407</v>
      </c>
      <c r="D22" s="18">
        <v>0.8257303052243582</v>
      </c>
      <c r="E22" s="18">
        <v>0.80547248666946025</v>
      </c>
      <c r="F22" s="18">
        <v>2.8600242760871801E-2</v>
      </c>
      <c r="G22" s="18">
        <v>0.50555555555555554</v>
      </c>
      <c r="H22" s="18">
        <v>2.1555078244211749</v>
      </c>
      <c r="I22" s="18">
        <v>0.99444444444444446</v>
      </c>
      <c r="J22" s="18">
        <v>9.152200448503967</v>
      </c>
      <c r="K22" s="18">
        <f t="shared" si="1"/>
        <v>0.19732675527344198</v>
      </c>
      <c r="L22" s="18">
        <f>L23*(1+F23*G23)</f>
        <v>0.8054318945377732</v>
      </c>
      <c r="M22" s="18"/>
      <c r="N22" s="18">
        <f t="shared" ref="N22" si="9">L22</f>
        <v>0.8054318945377732</v>
      </c>
    </row>
    <row r="23" spans="1:14">
      <c r="A23" s="13">
        <v>20</v>
      </c>
      <c r="B23">
        <v>10.5</v>
      </c>
      <c r="C23" s="5">
        <v>48591</v>
      </c>
      <c r="D23" s="18">
        <v>0.8146912703004634</v>
      </c>
      <c r="E23" s="18">
        <v>0.79392771566848708</v>
      </c>
      <c r="F23" s="18">
        <v>2.8450443271989499E-2</v>
      </c>
      <c r="G23" s="18">
        <v>0.51111111111111107</v>
      </c>
      <c r="H23" s="18">
        <v>0</v>
      </c>
      <c r="I23" s="18"/>
      <c r="J23" s="18"/>
      <c r="K23" s="18">
        <f t="shared" si="1"/>
        <v>0.20917345613359695</v>
      </c>
      <c r="L23" s="18">
        <f>(L24*(H24/100*J24-K23+D24)/D24)</f>
        <v>0.79388770534048991</v>
      </c>
      <c r="M23" s="18"/>
      <c r="N23" s="18"/>
    </row>
    <row r="24" spans="1:14">
      <c r="A24" s="13">
        <v>21</v>
      </c>
      <c r="B24">
        <v>11</v>
      </c>
      <c r="C24" s="5">
        <v>48772</v>
      </c>
      <c r="D24" s="18">
        <v>0.8037668893231964</v>
      </c>
      <c r="E24" s="18">
        <v>0.78267545028228147</v>
      </c>
      <c r="F24" s="18">
        <v>2.8594478516200401E-2</v>
      </c>
      <c r="G24" s="18">
        <v>0.50277777777777777</v>
      </c>
      <c r="H24" s="18">
        <v>2.2164183598458695</v>
      </c>
      <c r="I24" s="18">
        <v>1</v>
      </c>
      <c r="J24" s="18">
        <v>9.9559673378271629</v>
      </c>
      <c r="K24" s="18">
        <f t="shared" si="1"/>
        <v>0.22072894614423624</v>
      </c>
      <c r="L24" s="18">
        <f>L25*(1+F25*G25)</f>
        <v>0.78269654185769433</v>
      </c>
      <c r="M24" s="18"/>
      <c r="N24" s="18">
        <f t="shared" ref="N24" si="10">L24</f>
        <v>0.78269654185769433</v>
      </c>
    </row>
    <row r="25" spans="1:14">
      <c r="A25" s="13">
        <v>22</v>
      </c>
      <c r="B25">
        <v>11.5</v>
      </c>
      <c r="C25" s="5">
        <v>48956</v>
      </c>
      <c r="D25" s="18">
        <v>0.79251290448087985</v>
      </c>
      <c r="E25" s="18">
        <v>0.77121663179798594</v>
      </c>
      <c r="F25" s="18">
        <v>2.90702074422408E-2</v>
      </c>
      <c r="G25" s="18">
        <v>0.51111111111111107</v>
      </c>
      <c r="H25" s="18">
        <v>0</v>
      </c>
      <c r="I25" s="18"/>
      <c r="J25" s="18"/>
      <c r="K25" s="18">
        <f t="shared" si="1"/>
        <v>0.23250418690601346</v>
      </c>
      <c r="L25" s="18">
        <f>(L26*(H26/100*J26-K25+D26)/D26)</f>
        <v>0.77123741458061112</v>
      </c>
      <c r="M25" s="18"/>
      <c r="N25" s="18"/>
    </row>
    <row r="26" spans="1:14">
      <c r="A26" s="13">
        <v>23</v>
      </c>
      <c r="B26">
        <v>12</v>
      </c>
      <c r="C26" s="5">
        <v>49137</v>
      </c>
      <c r="D26" s="18">
        <v>0.78150798192835358</v>
      </c>
      <c r="E26" s="18">
        <v>0.76007457235941267</v>
      </c>
      <c r="F26" s="18">
        <v>2.9156352552981098E-2</v>
      </c>
      <c r="G26" s="18">
        <v>0.50277777777777777</v>
      </c>
      <c r="H26" s="18">
        <v>2.2713226188481417</v>
      </c>
      <c r="I26" s="18">
        <v>1</v>
      </c>
      <c r="J26" s="18">
        <v>10.73747531975552</v>
      </c>
      <c r="K26" s="18">
        <f t="shared" si="1"/>
        <v>0.24396044225650515</v>
      </c>
      <c r="L26" s="18">
        <f>L27*(1+F27*G27)</f>
        <v>0.76016957655352135</v>
      </c>
      <c r="M26" s="18"/>
      <c r="N26" s="18">
        <f t="shared" ref="N26" si="11">L26</f>
        <v>0.76016957655352135</v>
      </c>
    </row>
    <row r="27" spans="1:14">
      <c r="A27" s="13">
        <v>24</v>
      </c>
      <c r="B27">
        <v>12.5</v>
      </c>
      <c r="C27" s="5">
        <v>49321</v>
      </c>
      <c r="D27" s="18">
        <v>0.77061478256932514</v>
      </c>
      <c r="E27" s="18">
        <v>0.74906175653772222</v>
      </c>
      <c r="F27" s="18">
        <v>2.8765069603566101E-2</v>
      </c>
      <c r="G27" s="18">
        <v>0.51111111111111107</v>
      </c>
      <c r="H27" s="18">
        <v>0</v>
      </c>
      <c r="I27" s="18"/>
      <c r="J27" s="18"/>
      <c r="K27" s="18">
        <f t="shared" si="1"/>
        <v>0.25529013382844523</v>
      </c>
      <c r="L27" s="18">
        <f>(L28*(H28/100*J28-K27+D28)/D28)</f>
        <v>0.74915538420414518</v>
      </c>
      <c r="M27" s="18"/>
      <c r="N27" s="18"/>
    </row>
    <row r="28" spans="1:14">
      <c r="A28" s="13">
        <v>25</v>
      </c>
      <c r="B28">
        <v>13</v>
      </c>
      <c r="C28" s="5">
        <v>49502</v>
      </c>
      <c r="D28" s="18">
        <v>0.76021383187024028</v>
      </c>
      <c r="E28" s="18">
        <v>0.73859675986976769</v>
      </c>
      <c r="F28" s="18">
        <v>2.81809495309472E-2</v>
      </c>
      <c r="G28" s="18">
        <v>0.50277777777777777</v>
      </c>
      <c r="H28" s="18">
        <v>2.3132261478808158</v>
      </c>
      <c r="I28" s="18">
        <v>1</v>
      </c>
      <c r="J28" s="18">
        <v>11.49768915162576</v>
      </c>
      <c r="K28" s="18">
        <f t="shared" si="1"/>
        <v>0.26606141749730089</v>
      </c>
      <c r="L28" s="18">
        <f>L29*(1+F29*G29)</f>
        <v>0.73877902410551588</v>
      </c>
      <c r="M28" s="18"/>
      <c r="N28" s="18">
        <f t="shared" ref="N28" si="12">L28</f>
        <v>0.73877902410551588</v>
      </c>
    </row>
    <row r="29" spans="1:14">
      <c r="A29" s="13">
        <v>26</v>
      </c>
      <c r="B29">
        <v>13.5</v>
      </c>
      <c r="C29" s="5">
        <v>49688</v>
      </c>
      <c r="D29" s="18">
        <v>0.7498602714689413</v>
      </c>
      <c r="E29" s="18">
        <v>0.72826345785213376</v>
      </c>
      <c r="F29" s="18">
        <v>2.7462505736529301E-2</v>
      </c>
      <c r="G29" s="18">
        <v>0.51666666666666672</v>
      </c>
      <c r="H29" s="18">
        <v>0</v>
      </c>
      <c r="I29" s="18"/>
      <c r="J29" s="18"/>
      <c r="K29" s="18">
        <f t="shared" si="1"/>
        <v>0.27670115586748667</v>
      </c>
      <c r="L29" s="18">
        <f>(L30*(H30/100*J30-K29+D30)/D30)</f>
        <v>0.72844317212896348</v>
      </c>
      <c r="M29" s="18"/>
      <c r="N29" s="18"/>
    </row>
    <row r="30" spans="1:14">
      <c r="A30" s="13">
        <v>27</v>
      </c>
      <c r="B30">
        <v>14</v>
      </c>
      <c r="C30" s="5">
        <v>49870</v>
      </c>
      <c r="D30" s="18">
        <v>0.74018567472833596</v>
      </c>
      <c r="E30" s="18">
        <v>0.71863740591193315</v>
      </c>
      <c r="F30" s="18">
        <v>2.6495339851027901E-2</v>
      </c>
      <c r="G30" s="18">
        <v>0.50555555555555554</v>
      </c>
      <c r="H30" s="18">
        <v>2.3411326068323772</v>
      </c>
      <c r="I30" s="18">
        <v>1.005555555555556</v>
      </c>
      <c r="J30" s="18">
        <v>12.241986968991471</v>
      </c>
      <c r="K30" s="18">
        <f t="shared" si="1"/>
        <v>0.28661584398657475</v>
      </c>
      <c r="L30" s="18">
        <f>L31*(1+F31*G31)</f>
        <v>0.71882882744452392</v>
      </c>
      <c r="M30" s="18"/>
      <c r="N30" s="18">
        <f t="shared" ref="N30" si="13">L30</f>
        <v>0.71882882744452392</v>
      </c>
    </row>
    <row r="31" spans="1:14">
      <c r="A31" s="13">
        <v>28</v>
      </c>
      <c r="B31">
        <v>14.5</v>
      </c>
      <c r="C31" s="5">
        <v>50052</v>
      </c>
      <c r="D31" s="18">
        <v>0.73104788279616695</v>
      </c>
      <c r="E31" s="18">
        <v>0.7095309602972194</v>
      </c>
      <c r="F31" s="18">
        <v>2.5383289016291E-2</v>
      </c>
      <c r="G31" s="18">
        <v>0.50555555555555554</v>
      </c>
      <c r="H31" s="18">
        <v>0</v>
      </c>
      <c r="I31" s="18"/>
      <c r="J31" s="18"/>
      <c r="K31" s="18">
        <f t="shared" si="1"/>
        <v>0.29599713494286589</v>
      </c>
      <c r="L31" s="18">
        <f>(L32*(H32/100*J32-K31+D32)/D32)</f>
        <v>0.70972121443158609</v>
      </c>
      <c r="M31" s="18"/>
      <c r="N31" s="18"/>
    </row>
    <row r="32" spans="1:14">
      <c r="A32" s="13">
        <v>29</v>
      </c>
      <c r="B32">
        <v>15</v>
      </c>
      <c r="C32" s="5">
        <v>50234</v>
      </c>
      <c r="D32" s="18">
        <v>0.72227737271592507</v>
      </c>
      <c r="E32" s="18">
        <v>0.700838160456415</v>
      </c>
      <c r="F32" s="18">
        <v>2.4534264978464001E-2</v>
      </c>
      <c r="G32" s="18">
        <v>0.50555555555555554</v>
      </c>
      <c r="H32" s="18">
        <v>2.3520489555516328</v>
      </c>
      <c r="I32" s="18">
        <v>0.99722222222222223</v>
      </c>
      <c r="J32" s="18">
        <v>12.962258015672081</v>
      </c>
      <c r="K32" s="18">
        <f t="shared" si="1"/>
        <v>0.30495585463711411</v>
      </c>
      <c r="L32" s="18">
        <f>L33*(1+F33*G33)</f>
        <v>0.7011001024490624</v>
      </c>
      <c r="M32" s="18"/>
      <c r="N32" s="18">
        <f t="shared" ref="N32" si="14">L32</f>
        <v>0.7011001024490624</v>
      </c>
    </row>
    <row r="33" spans="1:14">
      <c r="A33" s="13">
        <v>30</v>
      </c>
      <c r="B33">
        <v>15.5</v>
      </c>
      <c r="C33" s="5">
        <v>50417</v>
      </c>
      <c r="D33" s="18">
        <v>0.71366212197997081</v>
      </c>
      <c r="E33" s="18">
        <v>0.69241736243795082</v>
      </c>
      <c r="F33" s="18">
        <v>2.3922987110430501E-2</v>
      </c>
      <c r="G33" s="18">
        <v>0.5083333333333333</v>
      </c>
      <c r="H33" s="18">
        <v>0</v>
      </c>
      <c r="I33" s="18"/>
      <c r="J33" s="18"/>
      <c r="K33" s="18">
        <f t="shared" si="1"/>
        <v>0.31363459392432319</v>
      </c>
      <c r="L33" s="18">
        <f>(L34*(H34/100*J34-K33+D34)/D34)</f>
        <v>0.6926765654049073</v>
      </c>
      <c r="M33" s="18"/>
      <c r="N33" s="18"/>
    </row>
    <row r="34" spans="1:14">
      <c r="A34" s="13">
        <v>31</v>
      </c>
      <c r="B34">
        <v>16</v>
      </c>
      <c r="C34" s="5">
        <v>50598</v>
      </c>
      <c r="D34" s="18">
        <v>0.70541109112485312</v>
      </c>
      <c r="E34" s="18">
        <v>0.68446812486706743</v>
      </c>
      <c r="F34" s="18">
        <v>2.3099159315272899E-2</v>
      </c>
      <c r="G34" s="18">
        <v>0.50277777777777777</v>
      </c>
      <c r="H34" s="18">
        <v>2.3539707600985587</v>
      </c>
      <c r="I34" s="18">
        <v>0.99722222222222223</v>
      </c>
      <c r="J34" s="18">
        <v>13.6657096315438</v>
      </c>
      <c r="K34" s="18">
        <f t="shared" si="1"/>
        <v>0.32182705774369619</v>
      </c>
      <c r="L34" s="18">
        <f>L35*(1+F35*G35)</f>
        <v>0.68485895158184751</v>
      </c>
      <c r="M34" s="18"/>
      <c r="N34" s="18">
        <f t="shared" ref="N34" si="15">L34</f>
        <v>0.68485895158184751</v>
      </c>
    </row>
    <row r="35" spans="1:14">
      <c r="A35" s="13">
        <v>32</v>
      </c>
      <c r="B35">
        <v>16.5</v>
      </c>
      <c r="C35" s="5">
        <v>50782</v>
      </c>
      <c r="D35" s="18">
        <v>0.69740868440821069</v>
      </c>
      <c r="E35" s="18">
        <v>0.67685350673892697</v>
      </c>
      <c r="F35" s="18">
        <v>2.2010916327615201E-2</v>
      </c>
      <c r="G35" s="18">
        <v>0.51111111111111107</v>
      </c>
      <c r="H35" s="18">
        <v>0</v>
      </c>
      <c r="I35" s="18"/>
      <c r="J35" s="18"/>
      <c r="K35" s="18">
        <f t="shared" si="1"/>
        <v>0.32967292211190086</v>
      </c>
      <c r="L35" s="18">
        <f>(L36*(H36/100*J36-K35+D36)/D36)</f>
        <v>0.67723998555775811</v>
      </c>
      <c r="M35" s="18"/>
      <c r="N35" s="18"/>
    </row>
    <row r="36" spans="1:14">
      <c r="A36" s="13">
        <v>33</v>
      </c>
      <c r="B36">
        <v>17</v>
      </c>
      <c r="C36" s="5">
        <v>50963</v>
      </c>
      <c r="D36" s="18">
        <v>0.68996315335641056</v>
      </c>
      <c r="E36" s="18">
        <v>0.66981104102760358</v>
      </c>
      <c r="F36" s="18">
        <v>2.0912038267508801E-2</v>
      </c>
      <c r="G36" s="18">
        <v>0.50277777777777777</v>
      </c>
      <c r="H36" s="18">
        <v>2.3459008938802932</v>
      </c>
      <c r="I36" s="18">
        <v>1</v>
      </c>
      <c r="J36" s="18">
        <v>14.355672784900211</v>
      </c>
      <c r="K36" s="18">
        <f t="shared" ref="K36:K67" si="16">K35+(F36*G36*D36)</f>
        <v>0.33692726931127592</v>
      </c>
      <c r="L36" s="18">
        <f>L37*(1+F37*G37)</f>
        <v>0.67034484464402266</v>
      </c>
      <c r="M36" s="18"/>
      <c r="N36" s="18">
        <f t="shared" ref="N36" si="17">L36</f>
        <v>0.67034484464402266</v>
      </c>
    </row>
    <row r="37" spans="1:14">
      <c r="A37" s="13">
        <v>34</v>
      </c>
      <c r="B37">
        <v>17.5</v>
      </c>
      <c r="C37" s="5">
        <v>51147</v>
      </c>
      <c r="D37" s="18">
        <v>0.68282994441576605</v>
      </c>
      <c r="E37" s="18">
        <v>0.66306691465186141</v>
      </c>
      <c r="F37" s="18">
        <v>1.9899997381878601E-2</v>
      </c>
      <c r="G37" s="18">
        <v>0.51111111111111107</v>
      </c>
      <c r="H37" s="18">
        <v>0</v>
      </c>
      <c r="I37" s="18"/>
      <c r="J37" s="18"/>
      <c r="K37" s="18">
        <f t="shared" si="16"/>
        <v>0.34387240763219296</v>
      </c>
      <c r="L37" s="18">
        <f>(L38*(H38/100*J38-K37+D38)/D38)</f>
        <v>0.66359534355985017</v>
      </c>
      <c r="M37" s="18"/>
      <c r="N37" s="18"/>
    </row>
    <row r="38" spans="1:14">
      <c r="A38" s="13">
        <v>35</v>
      </c>
      <c r="B38">
        <v>18</v>
      </c>
      <c r="C38" s="5">
        <v>51329</v>
      </c>
      <c r="D38" s="18">
        <v>0.67609185802575111</v>
      </c>
      <c r="E38" s="18">
        <v>0.65673579124496839</v>
      </c>
      <c r="F38" s="18">
        <v>1.90687052713602E-2</v>
      </c>
      <c r="G38" s="18">
        <v>0.50555555555555554</v>
      </c>
      <c r="H38" s="18">
        <v>2.3298404781969291</v>
      </c>
      <c r="I38" s="18">
        <v>1</v>
      </c>
      <c r="J38" s="18">
        <v>15.031764642925969</v>
      </c>
      <c r="K38" s="18">
        <f t="shared" si="16"/>
        <v>0.35039012913392853</v>
      </c>
      <c r="L38" s="18">
        <f>L39*(1+F39*G39)</f>
        <v>0.65742674757272301</v>
      </c>
      <c r="M38" s="18"/>
      <c r="N38" s="18">
        <f t="shared" ref="N38" si="18">L38</f>
        <v>0.65742674757272301</v>
      </c>
    </row>
    <row r="39" spans="1:14">
      <c r="A39" s="13">
        <v>36</v>
      </c>
      <c r="B39">
        <v>18.5</v>
      </c>
      <c r="C39" s="5">
        <v>51515</v>
      </c>
      <c r="D39" s="18">
        <v>0.66942332733091914</v>
      </c>
      <c r="E39" s="18">
        <v>0.65055591075883357</v>
      </c>
      <c r="F39" s="18">
        <v>1.8385904743329899E-2</v>
      </c>
      <c r="G39" s="18">
        <v>0.51666666666666672</v>
      </c>
      <c r="H39" s="18">
        <v>0</v>
      </c>
      <c r="I39" s="18"/>
      <c r="J39" s="18"/>
      <c r="K39" s="18">
        <f t="shared" si="16"/>
        <v>0.35674923845738432</v>
      </c>
      <c r="L39" s="18">
        <f>(L40*(H40/100*J40-K39+D40)/D40)</f>
        <v>0.65124036519102602</v>
      </c>
      <c r="M39" s="18"/>
      <c r="N39" s="18"/>
    </row>
    <row r="40" spans="1:14">
      <c r="A40" s="13">
        <v>37</v>
      </c>
      <c r="B40">
        <v>19</v>
      </c>
      <c r="C40" s="5">
        <v>51694</v>
      </c>
      <c r="D40" s="18">
        <v>0.66324213984716596</v>
      </c>
      <c r="E40" s="18">
        <v>0.6449111569909729</v>
      </c>
      <c r="F40" s="18">
        <v>1.75973078822565E-2</v>
      </c>
      <c r="G40" s="18">
        <v>0.49722222222222218</v>
      </c>
      <c r="H40" s="18">
        <v>2.3087869352072676</v>
      </c>
      <c r="I40" s="18">
        <v>1</v>
      </c>
      <c r="J40" s="18">
        <v>15.695006782773129</v>
      </c>
      <c r="K40" s="18">
        <f t="shared" si="16"/>
        <v>0.36255245631358574</v>
      </c>
      <c r="L40" s="18">
        <f>L41*(1+F41*G41)</f>
        <v>0.64577322987766028</v>
      </c>
      <c r="M40" s="18"/>
      <c r="N40" s="18">
        <f t="shared" ref="N40" si="19">L40</f>
        <v>0.64577322987766028</v>
      </c>
    </row>
    <row r="41" spans="1:14">
      <c r="A41" s="13">
        <v>38</v>
      </c>
      <c r="B41">
        <v>19.5</v>
      </c>
      <c r="C41" s="5">
        <v>51879</v>
      </c>
      <c r="D41" s="18">
        <v>0.65713526584249904</v>
      </c>
      <c r="E41" s="18">
        <v>0.63940852927721736</v>
      </c>
      <c r="F41" s="18">
        <v>1.6746439250249601E-2</v>
      </c>
      <c r="G41" s="18">
        <v>0.51388888888888884</v>
      </c>
      <c r="H41" s="18">
        <v>0</v>
      </c>
      <c r="I41" s="18"/>
      <c r="J41" s="18"/>
      <c r="K41" s="18">
        <f t="shared" si="16"/>
        <v>0.36820763693746406</v>
      </c>
      <c r="L41" s="18">
        <f>(L42*(H42/100*J42-K41+D42)/D42)</f>
        <v>0.64026324662957079</v>
      </c>
      <c r="M41" s="18"/>
      <c r="N41" s="18"/>
    </row>
    <row r="42" spans="1:14">
      <c r="A42" s="13">
        <v>39</v>
      </c>
      <c r="B42">
        <v>20</v>
      </c>
      <c r="C42" s="5">
        <v>52061</v>
      </c>
      <c r="D42" s="18">
        <v>0.65135462223894658</v>
      </c>
      <c r="E42" s="18">
        <v>0.63424325968494244</v>
      </c>
      <c r="F42" s="18">
        <v>1.6108987553141298E-2</v>
      </c>
      <c r="G42" s="18">
        <v>0.50555555555555554</v>
      </c>
      <c r="H42" s="18">
        <v>2.2837403759436734</v>
      </c>
      <c r="I42" s="18">
        <v>1.005555555555556</v>
      </c>
      <c r="J42" s="18">
        <v>16.34998004180229</v>
      </c>
      <c r="K42" s="18">
        <f t="shared" si="16"/>
        <v>0.37351226126364112</v>
      </c>
      <c r="L42" s="19">
        <f t="shared" ref="L42:L60" si="20">L43*(1+F43*G43)</f>
        <v>0.63520827995635898</v>
      </c>
      <c r="M42" s="19">
        <v>0.63520827988569195</v>
      </c>
      <c r="N42" s="18">
        <f>L42</f>
        <v>0.63520827995635898</v>
      </c>
    </row>
    <row r="43" spans="1:14">
      <c r="A43" s="13">
        <v>40</v>
      </c>
      <c r="B43">
        <v>20.5</v>
      </c>
      <c r="C43" s="5">
        <v>52243</v>
      </c>
      <c r="D43" s="18">
        <v>0.64573914209288952</v>
      </c>
      <c r="E43" s="18">
        <v>0.62923895877524105</v>
      </c>
      <c r="F43" s="18">
        <v>1.57299670783482E-2</v>
      </c>
      <c r="G43" s="18">
        <v>0.50555555555555554</v>
      </c>
      <c r="H43" s="18">
        <v>0</v>
      </c>
      <c r="I43" s="18"/>
      <c r="J43" s="18"/>
      <c r="K43" s="18">
        <f t="shared" si="16"/>
        <v>0.37864741929483725</v>
      </c>
      <c r="L43" s="18">
        <f t="shared" si="20"/>
        <v>0.63019672104294322</v>
      </c>
      <c r="M43" s="18"/>
      <c r="N43" s="18"/>
    </row>
    <row r="44" spans="1:14">
      <c r="A44" s="13">
        <v>41</v>
      </c>
      <c r="B44">
        <v>21</v>
      </c>
      <c r="C44" s="5">
        <v>52425</v>
      </c>
      <c r="D44" s="18">
        <v>0.6402741031535254</v>
      </c>
      <c r="E44" s="18">
        <v>0.62437792638072032</v>
      </c>
      <c r="F44" s="18">
        <v>1.53996938488435E-2</v>
      </c>
      <c r="G44" s="18">
        <v>0.50555555555555554</v>
      </c>
      <c r="H44" s="18">
        <v>0</v>
      </c>
      <c r="I44" s="18"/>
      <c r="J44" s="18"/>
      <c r="K44" s="18">
        <f t="shared" si="16"/>
        <v>0.38363220979639029</v>
      </c>
      <c r="L44" s="18">
        <f t="shared" si="20"/>
        <v>0.62532828968918031</v>
      </c>
      <c r="M44" s="18"/>
      <c r="N44" s="18"/>
    </row>
    <row r="45" spans="1:14">
      <c r="A45" s="13">
        <v>42</v>
      </c>
      <c r="B45">
        <v>21.5</v>
      </c>
      <c r="C45" s="5">
        <v>52608</v>
      </c>
      <c r="D45" s="18">
        <v>0.634927113266328</v>
      </c>
      <c r="E45" s="18">
        <v>0.61963339874338974</v>
      </c>
      <c r="F45" s="18">
        <v>1.5062316009954399E-2</v>
      </c>
      <c r="G45" s="18">
        <v>0.5083333333333333</v>
      </c>
      <c r="H45" s="18">
        <v>0</v>
      </c>
      <c r="I45" s="18"/>
      <c r="J45" s="18"/>
      <c r="K45" s="18">
        <f t="shared" si="16"/>
        <v>0.38849364181490392</v>
      </c>
      <c r="L45" s="18">
        <f t="shared" si="20"/>
        <v>0.62057673389472023</v>
      </c>
      <c r="M45" s="18"/>
      <c r="N45" s="18"/>
    </row>
    <row r="46" spans="1:14">
      <c r="A46" s="13">
        <v>43</v>
      </c>
      <c r="B46">
        <v>22</v>
      </c>
      <c r="C46" s="5">
        <v>52790</v>
      </c>
      <c r="D46" s="18">
        <v>0.62975313698155089</v>
      </c>
      <c r="E46" s="18">
        <v>0.61505604443203954</v>
      </c>
      <c r="F46" s="18">
        <v>1.47207844081999E-2</v>
      </c>
      <c r="G46" s="18">
        <v>0.50555555555555554</v>
      </c>
      <c r="H46" s="18">
        <v>0</v>
      </c>
      <c r="I46" s="18"/>
      <c r="J46" s="18"/>
      <c r="K46" s="18">
        <f t="shared" si="16"/>
        <v>0.39318037445129428</v>
      </c>
      <c r="L46" s="18">
        <f t="shared" si="20"/>
        <v>0.61599241098027224</v>
      </c>
      <c r="M46" s="18"/>
      <c r="N46" s="18"/>
    </row>
    <row r="47" spans="1:14">
      <c r="A47" s="13">
        <v>44</v>
      </c>
      <c r="B47">
        <v>22.5</v>
      </c>
      <c r="C47" s="5">
        <v>52974</v>
      </c>
      <c r="D47" s="18">
        <v>0.6246646569460953</v>
      </c>
      <c r="E47" s="18">
        <v>0.61057042362918235</v>
      </c>
      <c r="F47" s="18">
        <v>1.4373795838521899E-2</v>
      </c>
      <c r="G47" s="18">
        <v>0.51111111111111107</v>
      </c>
      <c r="H47" s="18">
        <v>0</v>
      </c>
      <c r="I47" s="18"/>
      <c r="J47" s="18"/>
      <c r="K47" s="18">
        <f t="shared" si="16"/>
        <v>0.39776954004394138</v>
      </c>
      <c r="L47" s="18">
        <f t="shared" si="20"/>
        <v>0.61149996123019013</v>
      </c>
      <c r="M47" s="18"/>
      <c r="N47" s="18"/>
    </row>
    <row r="48" spans="1:14">
      <c r="A48" s="13">
        <v>45</v>
      </c>
      <c r="B48">
        <v>23</v>
      </c>
      <c r="C48" s="5">
        <v>53155</v>
      </c>
      <c r="D48" s="18">
        <v>0.61979555389178442</v>
      </c>
      <c r="E48" s="18">
        <v>0.60629619276544222</v>
      </c>
      <c r="F48" s="18">
        <v>1.40215834415629E-2</v>
      </c>
      <c r="G48" s="18">
        <v>0.50277777777777777</v>
      </c>
      <c r="H48" s="18">
        <v>0</v>
      </c>
      <c r="I48" s="18"/>
      <c r="J48" s="18"/>
      <c r="K48" s="18">
        <f t="shared" si="16"/>
        <v>0.40213893790139749</v>
      </c>
      <c r="L48" s="18">
        <f t="shared" si="20"/>
        <v>0.60721922324106459</v>
      </c>
      <c r="M48" s="18"/>
      <c r="N48" s="18"/>
    </row>
    <row r="49" spans="1:14">
      <c r="A49" s="13">
        <v>46</v>
      </c>
      <c r="B49">
        <v>23.5</v>
      </c>
      <c r="C49" s="5">
        <v>53339</v>
      </c>
      <c r="D49" s="18">
        <v>0.61498122338346772</v>
      </c>
      <c r="E49" s="18">
        <v>0.60209061125679897</v>
      </c>
      <c r="F49" s="18">
        <v>1.36662347718224E-2</v>
      </c>
      <c r="G49" s="18">
        <v>0.51111111111111107</v>
      </c>
      <c r="H49" s="18">
        <v>0</v>
      </c>
      <c r="I49" s="18"/>
      <c r="J49" s="18"/>
      <c r="K49" s="18">
        <f t="shared" si="16"/>
        <v>0.40643455987734156</v>
      </c>
      <c r="L49" s="18">
        <f t="shared" si="20"/>
        <v>0.60300723911939735</v>
      </c>
      <c r="M49" s="18"/>
      <c r="N49" s="18"/>
    </row>
    <row r="50" spans="1:14">
      <c r="A50" s="13">
        <v>47</v>
      </c>
      <c r="B50">
        <v>24</v>
      </c>
      <c r="C50" s="5">
        <v>53520</v>
      </c>
      <c r="D50" s="18">
        <v>0.61037562509683041</v>
      </c>
      <c r="E50" s="18">
        <v>0.59808983719780817</v>
      </c>
      <c r="F50" s="18">
        <v>1.3304591007762099E-2</v>
      </c>
      <c r="G50" s="18">
        <v>0.50277777777777777</v>
      </c>
      <c r="H50" s="18">
        <v>0</v>
      </c>
      <c r="I50" s="18"/>
      <c r="J50" s="18"/>
      <c r="K50" s="18">
        <f t="shared" si="16"/>
        <v>0.41051751667622127</v>
      </c>
      <c r="L50" s="18">
        <f t="shared" si="20"/>
        <v>0.59900037424798425</v>
      </c>
      <c r="M50" s="18"/>
      <c r="N50" s="18"/>
    </row>
    <row r="51" spans="1:14">
      <c r="A51" s="13">
        <v>48</v>
      </c>
      <c r="B51">
        <v>24.5</v>
      </c>
      <c r="C51" s="5">
        <v>53706</v>
      </c>
      <c r="D51" s="18">
        <v>0.60577431036681406</v>
      </c>
      <c r="E51" s="18">
        <v>0.59411834436985755</v>
      </c>
      <c r="F51" s="18">
        <v>1.29380962311729E-2</v>
      </c>
      <c r="G51" s="18">
        <v>0.51666666666666672</v>
      </c>
      <c r="H51" s="18">
        <v>0</v>
      </c>
      <c r="I51" s="18"/>
      <c r="J51" s="18"/>
      <c r="K51" s="18">
        <f t="shared" si="16"/>
        <v>0.41456692594253536</v>
      </c>
      <c r="L51" s="18">
        <f t="shared" si="20"/>
        <v>0.59502283518560628</v>
      </c>
      <c r="M51" s="18"/>
      <c r="N51" s="18"/>
    </row>
    <row r="52" spans="1:14">
      <c r="A52" s="13">
        <v>49</v>
      </c>
      <c r="B52">
        <v>25</v>
      </c>
      <c r="C52" s="5">
        <v>53885</v>
      </c>
      <c r="D52" s="18">
        <v>0.60146922482722898</v>
      </c>
      <c r="E52" s="18">
        <v>0.59042925412809355</v>
      </c>
      <c r="F52" s="18">
        <v>1.2563696621126301E-2</v>
      </c>
      <c r="G52" s="18">
        <v>0.49722222222222218</v>
      </c>
      <c r="H52" s="18">
        <v>2.1509999999999998</v>
      </c>
      <c r="I52" s="18">
        <v>1.002777777777778</v>
      </c>
      <c r="J52" s="18">
        <v>20.04276006411229</v>
      </c>
      <c r="K52" s="18">
        <f t="shared" si="16"/>
        <v>0.41832427360729513</v>
      </c>
      <c r="L52" s="18">
        <f t="shared" si="20"/>
        <v>0.59132883402657266</v>
      </c>
      <c r="M52" s="18"/>
      <c r="N52" s="18">
        <f>L52</f>
        <v>0.59132883402657266</v>
      </c>
    </row>
    <row r="53" spans="1:14">
      <c r="A53" s="13">
        <v>50</v>
      </c>
      <c r="B53">
        <v>25.5</v>
      </c>
      <c r="C53" s="5">
        <v>54070</v>
      </c>
      <c r="D53" s="18">
        <v>0.59714179724358019</v>
      </c>
      <c r="E53" s="18">
        <v>0.58675019054605404</v>
      </c>
      <c r="F53" s="18">
        <v>1.22015450147267E-2</v>
      </c>
      <c r="G53" s="18">
        <v>0.51388888888888884</v>
      </c>
      <c r="H53" s="18">
        <v>0</v>
      </c>
      <c r="I53" s="18"/>
      <c r="J53" s="18"/>
      <c r="K53" s="18">
        <f t="shared" si="16"/>
        <v>0.42206849504079469</v>
      </c>
      <c r="L53" s="18">
        <f t="shared" si="20"/>
        <v>0.58764416501150207</v>
      </c>
      <c r="M53" s="18"/>
      <c r="N53" s="18"/>
    </row>
    <row r="54" spans="1:14">
      <c r="A54" s="13">
        <v>51</v>
      </c>
      <c r="B54">
        <v>26</v>
      </c>
      <c r="C54" s="5">
        <v>54252</v>
      </c>
      <c r="D54" s="18">
        <v>0.59299302894571138</v>
      </c>
      <c r="E54" s="18">
        <v>0.58325070461122197</v>
      </c>
      <c r="F54" s="18">
        <v>1.1868069830263801E-2</v>
      </c>
      <c r="G54" s="18">
        <v>0.50555555555555554</v>
      </c>
      <c r="H54" s="18">
        <v>0</v>
      </c>
      <c r="I54" s="18"/>
      <c r="J54" s="18"/>
      <c r="K54" s="18">
        <f t="shared" si="16"/>
        <v>0.42562643461607941</v>
      </c>
      <c r="L54" s="18">
        <f t="shared" si="20"/>
        <v>0.58413934724871608</v>
      </c>
      <c r="M54" s="18"/>
      <c r="N54" s="18"/>
    </row>
    <row r="55" spans="1:14">
      <c r="A55" s="13">
        <v>52</v>
      </c>
      <c r="B55">
        <v>26.5</v>
      </c>
      <c r="C55" s="5">
        <v>54435</v>
      </c>
      <c r="D55" s="18">
        <v>0.58891583250939061</v>
      </c>
      <c r="E55" s="18">
        <v>0.57983716615897962</v>
      </c>
      <c r="F55" s="18">
        <v>1.15805884799351E-2</v>
      </c>
      <c r="G55" s="18">
        <v>0.5083333333333333</v>
      </c>
      <c r="H55" s="18">
        <v>0</v>
      </c>
      <c r="I55" s="18"/>
      <c r="J55" s="18"/>
      <c r="K55" s="18">
        <f t="shared" si="16"/>
        <v>0.42909326383476432</v>
      </c>
      <c r="L55" s="18">
        <f t="shared" si="20"/>
        <v>0.58072076077132351</v>
      </c>
      <c r="M55" s="18"/>
      <c r="N55" s="18"/>
    </row>
    <row r="56" spans="1:14">
      <c r="A56" s="13">
        <v>53</v>
      </c>
      <c r="B56">
        <v>27</v>
      </c>
      <c r="C56" s="5">
        <v>54616</v>
      </c>
      <c r="D56" s="18">
        <v>0.58496282841536662</v>
      </c>
      <c r="E56" s="18">
        <v>0.57655059372333639</v>
      </c>
      <c r="F56" s="18">
        <v>1.13378239913883E-2</v>
      </c>
      <c r="G56" s="18">
        <v>0.50277777777777777</v>
      </c>
      <c r="H56" s="18">
        <v>0</v>
      </c>
      <c r="I56" s="18"/>
      <c r="J56" s="18"/>
      <c r="K56" s="18">
        <f t="shared" si="16"/>
        <v>0.43242778942310917</v>
      </c>
      <c r="L56" s="18">
        <f t="shared" si="20"/>
        <v>0.57742918003702903</v>
      </c>
      <c r="M56" s="18"/>
      <c r="N56" s="18"/>
    </row>
    <row r="57" spans="1:14">
      <c r="A57" s="13">
        <v>54</v>
      </c>
      <c r="B57">
        <v>27.5</v>
      </c>
      <c r="C57" s="5">
        <v>54800</v>
      </c>
      <c r="D57" s="18">
        <v>0.58101208887308553</v>
      </c>
      <c r="E57" s="18">
        <v>0.57328687722651306</v>
      </c>
      <c r="F57" s="18">
        <v>1.1138458824115899E-2</v>
      </c>
      <c r="G57" s="18">
        <v>0.51111111111111107</v>
      </c>
      <c r="H57" s="18">
        <v>0</v>
      </c>
      <c r="I57" s="18"/>
      <c r="J57" s="18"/>
      <c r="K57" s="18">
        <f t="shared" si="16"/>
        <v>0.43573548547309154</v>
      </c>
      <c r="L57" s="18">
        <f t="shared" si="20"/>
        <v>0.57416049007096104</v>
      </c>
      <c r="M57" s="18"/>
      <c r="N57" s="18"/>
    </row>
    <row r="58" spans="1:14">
      <c r="A58" s="13">
        <v>55</v>
      </c>
      <c r="B58">
        <v>28</v>
      </c>
      <c r="C58" s="5">
        <v>54981</v>
      </c>
      <c r="D58" s="18">
        <v>0.57717966116032426</v>
      </c>
      <c r="E58" s="18">
        <v>0.57013896952900966</v>
      </c>
      <c r="F58" s="18">
        <v>1.09815890846915E-2</v>
      </c>
      <c r="G58" s="18">
        <v>0.50277777777777777</v>
      </c>
      <c r="H58" s="18">
        <v>0</v>
      </c>
      <c r="I58" s="18"/>
      <c r="J58" s="18"/>
      <c r="K58" s="18">
        <f t="shared" si="16"/>
        <v>0.4389222669339517</v>
      </c>
      <c r="L58" s="18">
        <f t="shared" si="20"/>
        <v>0.57100778538139851</v>
      </c>
      <c r="M58" s="18"/>
      <c r="N58" s="18"/>
    </row>
    <row r="59" spans="1:14">
      <c r="A59" s="13">
        <v>56</v>
      </c>
      <c r="B59">
        <v>28.5</v>
      </c>
      <c r="C59" s="5">
        <v>55165</v>
      </c>
      <c r="D59" s="18">
        <v>0.57332577765484094</v>
      </c>
      <c r="E59" s="18">
        <v>0.56698905422546453</v>
      </c>
      <c r="F59" s="18">
        <v>1.0869482791382201E-2</v>
      </c>
      <c r="G59" s="18">
        <v>0.51111111111111107</v>
      </c>
      <c r="H59" s="18">
        <v>0</v>
      </c>
      <c r="I59" s="18"/>
      <c r="J59" s="18"/>
      <c r="K59" s="18">
        <f t="shared" si="16"/>
        <v>0.4421073859895901</v>
      </c>
      <c r="L59" s="18">
        <f t="shared" si="20"/>
        <v>0.56785307002647001</v>
      </c>
      <c r="M59" s="18"/>
      <c r="N59" s="18"/>
    </row>
    <row r="60" spans="1:14">
      <c r="A60" s="13">
        <v>57</v>
      </c>
      <c r="B60">
        <v>29</v>
      </c>
      <c r="C60" s="5">
        <v>55346</v>
      </c>
      <c r="D60" s="18">
        <v>0.56956397983013385</v>
      </c>
      <c r="E60" s="18">
        <v>0.56392695819486949</v>
      </c>
      <c r="F60" s="18">
        <v>1.07999035290495E-2</v>
      </c>
      <c r="G60" s="18">
        <v>0.50277777777777777</v>
      </c>
      <c r="H60" s="18">
        <v>0</v>
      </c>
      <c r="I60" s="18"/>
      <c r="J60" s="18"/>
      <c r="K60" s="18">
        <f t="shared" si="16"/>
        <v>0.44520009077424966</v>
      </c>
      <c r="L60" s="18">
        <f t="shared" si="20"/>
        <v>0.56478630776936689</v>
      </c>
      <c r="M60" s="18"/>
      <c r="N60" s="18"/>
    </row>
    <row r="61" spans="1:14">
      <c r="A61" s="13">
        <v>58</v>
      </c>
      <c r="B61">
        <v>29.5</v>
      </c>
      <c r="C61" s="5">
        <v>55530</v>
      </c>
      <c r="D61" s="18">
        <v>0.56575749067846093</v>
      </c>
      <c r="E61" s="18">
        <v>0.56083828488264831</v>
      </c>
      <c r="F61" s="18">
        <v>1.0775042723228601E-2</v>
      </c>
      <c r="G61" s="18">
        <v>0.51111111111111107</v>
      </c>
      <c r="H61" s="18">
        <v>0</v>
      </c>
      <c r="I61" s="18"/>
      <c r="J61" s="18"/>
      <c r="K61" s="18">
        <f t="shared" si="16"/>
        <v>0.4483158553533626</v>
      </c>
      <c r="L61" s="18">
        <f>(L62*(H62/100*J62-K61+D62)/D62)</f>
        <v>0.56169292773040025</v>
      </c>
      <c r="M61" s="18"/>
      <c r="N61" s="18"/>
    </row>
    <row r="62" spans="1:14">
      <c r="A62" s="13">
        <v>59</v>
      </c>
      <c r="B62">
        <v>30</v>
      </c>
      <c r="C62" s="5">
        <v>55712</v>
      </c>
      <c r="D62" s="18">
        <v>0.56199826955425991</v>
      </c>
      <c r="E62" s="18">
        <v>0.55779469673686044</v>
      </c>
      <c r="F62" s="18">
        <v>1.0793010904611801E-2</v>
      </c>
      <c r="G62" s="18">
        <v>0.50555555555555554</v>
      </c>
      <c r="H62" s="18">
        <v>2.0190453531348203</v>
      </c>
      <c r="I62" s="18">
        <v>1</v>
      </c>
      <c r="J62" s="18">
        <v>22.334839906326771</v>
      </c>
      <c r="K62" s="18">
        <f t="shared" si="16"/>
        <v>0.45138238015393017</v>
      </c>
      <c r="L62" s="18">
        <f t="shared" ref="L62:L70" si="21">L63*(1+F63*G63)</f>
        <v>0.55907195461858883</v>
      </c>
      <c r="M62" s="18"/>
      <c r="N62" s="18">
        <f>L62</f>
        <v>0.55907195461858883</v>
      </c>
    </row>
    <row r="63" spans="1:14">
      <c r="A63" s="13">
        <v>60</v>
      </c>
      <c r="B63">
        <v>30.5</v>
      </c>
      <c r="C63" s="5">
        <v>55897</v>
      </c>
      <c r="D63" s="18">
        <v>0.55817405862420799</v>
      </c>
      <c r="E63" s="18">
        <v>0.55470287369725568</v>
      </c>
      <c r="F63" s="18">
        <v>1.0846384244233899E-2</v>
      </c>
      <c r="G63" s="18">
        <v>0.51388888888888884</v>
      </c>
      <c r="H63" s="18">
        <v>0</v>
      </c>
      <c r="I63" s="18"/>
      <c r="J63" s="18"/>
      <c r="K63" s="18">
        <f t="shared" si="16"/>
        <v>0.45449355101025046</v>
      </c>
      <c r="L63" s="18">
        <f t="shared" si="21"/>
        <v>0.55597305181402867</v>
      </c>
      <c r="M63" s="18"/>
      <c r="N63" s="18"/>
    </row>
    <row r="64" spans="1:14">
      <c r="A64" s="13">
        <v>61</v>
      </c>
      <c r="B64">
        <v>31</v>
      </c>
      <c r="C64" s="5">
        <v>56079</v>
      </c>
      <c r="D64" s="18">
        <v>0.55441017461360897</v>
      </c>
      <c r="E64" s="18">
        <v>0.55166414272305053</v>
      </c>
      <c r="F64" s="18">
        <v>1.08955362271776E-2</v>
      </c>
      <c r="G64" s="18">
        <v>0.50555555555555554</v>
      </c>
      <c r="H64" s="18">
        <v>0</v>
      </c>
      <c r="I64" s="18"/>
      <c r="J64" s="18"/>
      <c r="K64" s="18">
        <f t="shared" si="16"/>
        <v>0.45754740794881643</v>
      </c>
      <c r="L64" s="18">
        <f t="shared" si="21"/>
        <v>0.55292736264694364</v>
      </c>
      <c r="M64" s="18"/>
      <c r="N64" s="18"/>
    </row>
    <row r="65" spans="1:14">
      <c r="A65" s="13">
        <v>62</v>
      </c>
      <c r="B65">
        <v>31.5</v>
      </c>
      <c r="C65" s="5">
        <v>56261</v>
      </c>
      <c r="D65" s="18">
        <v>0.55064827385461712</v>
      </c>
      <c r="E65" s="18">
        <v>0.5486319065880878</v>
      </c>
      <c r="F65" s="18">
        <v>1.0932826565357399E-2</v>
      </c>
      <c r="G65" s="18">
        <v>0.50555555555555554</v>
      </c>
      <c r="H65" s="18">
        <v>0</v>
      </c>
      <c r="I65" s="18"/>
      <c r="J65" s="18"/>
      <c r="K65" s="18">
        <f t="shared" si="16"/>
        <v>0.46059092422085812</v>
      </c>
      <c r="L65" s="18">
        <f t="shared" si="21"/>
        <v>0.54988804825673376</v>
      </c>
      <c r="M65" s="18"/>
      <c r="N65" s="18"/>
    </row>
    <row r="66" spans="1:14">
      <c r="A66" s="13">
        <v>63</v>
      </c>
      <c r="B66">
        <v>32</v>
      </c>
      <c r="C66" s="5">
        <v>56443</v>
      </c>
      <c r="D66" s="18">
        <v>0.546891901283866</v>
      </c>
      <c r="E66" s="18">
        <v>0.54560963384076011</v>
      </c>
      <c r="F66" s="18">
        <v>1.0956774856977301E-2</v>
      </c>
      <c r="G66" s="18">
        <v>0.50555555555555554</v>
      </c>
      <c r="H66" s="18">
        <v>0</v>
      </c>
      <c r="I66" s="18"/>
      <c r="J66" s="18"/>
      <c r="K66" s="18">
        <f t="shared" si="16"/>
        <v>0.46362029977889097</v>
      </c>
      <c r="L66" s="18">
        <f t="shared" si="21"/>
        <v>0.54685885574647153</v>
      </c>
      <c r="M66" s="18"/>
      <c r="N66" s="18"/>
    </row>
    <row r="67" spans="1:14">
      <c r="A67" s="13">
        <v>64</v>
      </c>
      <c r="B67">
        <v>32.5</v>
      </c>
      <c r="C67" s="5">
        <v>56626</v>
      </c>
      <c r="D67" s="18">
        <v>0.5431239515609213</v>
      </c>
      <c r="E67" s="18">
        <v>0.54258422783504157</v>
      </c>
      <c r="F67" s="18">
        <v>1.09691991996723E-2</v>
      </c>
      <c r="G67" s="18">
        <v>0.5083333333333333</v>
      </c>
      <c r="H67" s="18">
        <v>0</v>
      </c>
      <c r="I67" s="18"/>
      <c r="J67" s="18"/>
      <c r="K67" s="18">
        <f t="shared" si="16"/>
        <v>0.46664876414307332</v>
      </c>
      <c r="L67" s="18">
        <f t="shared" si="21"/>
        <v>0.5438264741098171</v>
      </c>
      <c r="M67" s="18"/>
      <c r="N67" s="18"/>
    </row>
    <row r="68" spans="1:14">
      <c r="A68" s="13">
        <v>65</v>
      </c>
      <c r="B68">
        <v>33</v>
      </c>
      <c r="C68" s="5">
        <v>56807</v>
      </c>
      <c r="D68" s="18">
        <v>0.53940946446737725</v>
      </c>
      <c r="E68" s="18">
        <v>0.53960847472234175</v>
      </c>
      <c r="F68" s="18">
        <v>1.0968369202468299E-2</v>
      </c>
      <c r="G68" s="18">
        <v>0.50277777777777777</v>
      </c>
      <c r="H68" s="18">
        <v>0</v>
      </c>
      <c r="I68" s="18"/>
      <c r="J68" s="18"/>
      <c r="K68" s="18">
        <f t="shared" ref="K68:K99" si="22">K67+(F68*G68*D68)</f>
        <v>0.4696234197834141</v>
      </c>
      <c r="L68" s="18">
        <f t="shared" si="21"/>
        <v>0.54084390801209259</v>
      </c>
      <c r="M68" s="18"/>
      <c r="N68" s="18"/>
    </row>
    <row r="69" spans="1:14">
      <c r="A69" s="13">
        <v>66</v>
      </c>
      <c r="B69">
        <v>33.5</v>
      </c>
      <c r="C69" s="5">
        <v>56991</v>
      </c>
      <c r="D69" s="18">
        <v>0.53564926141067259</v>
      </c>
      <c r="E69" s="18">
        <v>0.53660360945520758</v>
      </c>
      <c r="F69" s="18">
        <v>1.0956102632769599E-2</v>
      </c>
      <c r="G69" s="18">
        <v>0.51111111111111107</v>
      </c>
      <c r="H69" s="18">
        <v>0</v>
      </c>
      <c r="I69" s="18"/>
      <c r="J69" s="18"/>
      <c r="K69" s="18">
        <f t="shared" si="22"/>
        <v>0.47262294090592966</v>
      </c>
      <c r="L69" s="18">
        <f t="shared" si="21"/>
        <v>0.53783216310767301</v>
      </c>
      <c r="M69" s="18"/>
      <c r="N69" s="18"/>
    </row>
    <row r="70" spans="1:14">
      <c r="A70" s="13">
        <v>67</v>
      </c>
      <c r="B70">
        <v>34</v>
      </c>
      <c r="C70" s="5">
        <v>57173</v>
      </c>
      <c r="D70" s="18">
        <v>0.53194885680512016</v>
      </c>
      <c r="E70" s="18">
        <v>0.53365464410213215</v>
      </c>
      <c r="F70" s="18">
        <v>1.0930511605727E-2</v>
      </c>
      <c r="G70" s="18">
        <v>0.50555555555555554</v>
      </c>
      <c r="H70" s="18">
        <v>0</v>
      </c>
      <c r="I70" s="18"/>
      <c r="J70" s="18"/>
      <c r="K70" s="18">
        <f t="shared" si="22"/>
        <v>0.47556248011103802</v>
      </c>
      <c r="L70" s="18">
        <f t="shared" si="21"/>
        <v>0.53487644610013296</v>
      </c>
      <c r="M70" s="18"/>
      <c r="N70" s="18"/>
    </row>
    <row r="71" spans="1:14">
      <c r="A71" s="13">
        <v>68</v>
      </c>
      <c r="B71">
        <v>34.5</v>
      </c>
      <c r="C71" s="5">
        <v>57357</v>
      </c>
      <c r="D71" s="18">
        <v>0.52823009110863162</v>
      </c>
      <c r="E71" s="18">
        <v>0.53069993891946243</v>
      </c>
      <c r="F71" s="18">
        <v>1.0893057448593301E-2</v>
      </c>
      <c r="G71" s="18">
        <v>0.51111111111111107</v>
      </c>
      <c r="H71" s="18">
        <v>0</v>
      </c>
      <c r="I71" s="18"/>
      <c r="J71" s="18"/>
      <c r="K71" s="18">
        <f t="shared" si="22"/>
        <v>0.47850343426117148</v>
      </c>
      <c r="L71" s="18">
        <f>(L72*(H72/100*J72-K71+D72)/D72)</f>
        <v>0.53191497612166205</v>
      </c>
      <c r="M71" s="18"/>
      <c r="N71" s="18"/>
    </row>
    <row r="72" spans="1:14">
      <c r="A72" s="13">
        <v>69</v>
      </c>
      <c r="B72">
        <v>35</v>
      </c>
      <c r="C72" s="5">
        <v>57538</v>
      </c>
      <c r="D72" s="18">
        <v>0.52459684006245333</v>
      </c>
      <c r="E72" s="18">
        <v>0.52782259332972981</v>
      </c>
      <c r="F72" s="18">
        <v>1.08424636949378E-2</v>
      </c>
      <c r="G72" s="18">
        <v>0.50277777777777777</v>
      </c>
      <c r="H72" s="18">
        <v>1.9208758585511556</v>
      </c>
      <c r="I72" s="18">
        <v>1</v>
      </c>
      <c r="J72" s="18">
        <v>25.032159696291082</v>
      </c>
      <c r="K72" s="18">
        <f t="shared" si="22"/>
        <v>0.48136319514146864</v>
      </c>
      <c r="L72" s="18">
        <f t="shared" ref="L72:L80" si="23">L73*(1+F73*G73)</f>
        <v>0.52955962465282558</v>
      </c>
      <c r="M72" s="18"/>
      <c r="N72" s="18">
        <f>L72</f>
        <v>0.52955962465282558</v>
      </c>
    </row>
    <row r="73" spans="1:14">
      <c r="A73" s="13">
        <v>70</v>
      </c>
      <c r="B73">
        <v>35.5</v>
      </c>
      <c r="C73" s="5">
        <v>57724</v>
      </c>
      <c r="D73" s="18">
        <v>0.52089196930492376</v>
      </c>
      <c r="E73" s="18">
        <v>0.5248990250607739</v>
      </c>
      <c r="F73" s="18">
        <v>1.07802052586819E-2</v>
      </c>
      <c r="G73" s="18">
        <v>0.51666666666666672</v>
      </c>
      <c r="H73" s="18">
        <v>0</v>
      </c>
      <c r="I73" s="18"/>
      <c r="J73" s="18"/>
      <c r="K73" s="18">
        <f t="shared" si="22"/>
        <v>0.48426444502060012</v>
      </c>
      <c r="L73" s="18">
        <f t="shared" si="23"/>
        <v>0.52662643510254803</v>
      </c>
      <c r="M73" s="18"/>
      <c r="N73" s="18"/>
    </row>
    <row r="74" spans="1:14">
      <c r="A74" s="13">
        <v>71</v>
      </c>
      <c r="B74">
        <v>36</v>
      </c>
      <c r="C74" s="5">
        <v>57903</v>
      </c>
      <c r="D74" s="18">
        <v>0.51735683932539711</v>
      </c>
      <c r="E74" s="18">
        <v>0.5221203071921855</v>
      </c>
      <c r="F74" s="18">
        <v>1.07032216274824E-2</v>
      </c>
      <c r="G74" s="18">
        <v>0.49722222222222218</v>
      </c>
      <c r="H74" s="18">
        <v>0</v>
      </c>
      <c r="I74" s="18"/>
      <c r="J74" s="18"/>
      <c r="K74" s="18">
        <f t="shared" si="22"/>
        <v>0.4870177558517419</v>
      </c>
      <c r="L74" s="18">
        <f t="shared" si="23"/>
        <v>0.5238386289670649</v>
      </c>
      <c r="M74" s="18"/>
      <c r="N74" s="18"/>
    </row>
    <row r="75" spans="1:14">
      <c r="A75" s="13">
        <v>72</v>
      </c>
      <c r="B75">
        <v>36.5</v>
      </c>
      <c r="C75" s="5">
        <v>58088</v>
      </c>
      <c r="D75" s="18">
        <v>0.51373727224032295</v>
      </c>
      <c r="E75" s="18">
        <v>0.51928740042500721</v>
      </c>
      <c r="F75" s="18">
        <v>1.06158621108882E-2</v>
      </c>
      <c r="G75" s="18">
        <v>0.51388888888888884</v>
      </c>
      <c r="H75" s="18">
        <v>0</v>
      </c>
      <c r="I75" s="18"/>
      <c r="J75" s="18"/>
      <c r="K75" s="18">
        <f t="shared" si="22"/>
        <v>0.48982038459622945</v>
      </c>
      <c r="L75" s="18">
        <f t="shared" si="23"/>
        <v>0.52099639897434413</v>
      </c>
      <c r="M75" s="18"/>
      <c r="N75" s="18"/>
    </row>
    <row r="76" spans="1:14">
      <c r="A76" s="13">
        <v>73</v>
      </c>
      <c r="B76">
        <v>37</v>
      </c>
      <c r="C76" s="5">
        <v>58270</v>
      </c>
      <c r="D76" s="18">
        <v>0.51021287719542696</v>
      </c>
      <c r="E76" s="18">
        <v>0.51654201597351568</v>
      </c>
      <c r="F76" s="18">
        <v>1.05130475648442E-2</v>
      </c>
      <c r="G76" s="18">
        <v>0.50555555555555554</v>
      </c>
      <c r="H76" s="18">
        <v>0</v>
      </c>
      <c r="I76" s="18"/>
      <c r="J76" s="18"/>
      <c r="K76" s="18">
        <f t="shared" si="22"/>
        <v>0.49253213012067271</v>
      </c>
      <c r="L76" s="18">
        <f t="shared" si="23"/>
        <v>0.51824197933724803</v>
      </c>
      <c r="M76" s="18"/>
      <c r="N76" s="18"/>
    </row>
    <row r="77" spans="1:14">
      <c r="A77" s="13">
        <v>74</v>
      </c>
      <c r="B77">
        <v>37.5</v>
      </c>
      <c r="C77" s="5">
        <v>58452</v>
      </c>
      <c r="D77" s="18">
        <v>0.50672726759364373</v>
      </c>
      <c r="E77" s="18">
        <v>0.51384074987513662</v>
      </c>
      <c r="F77" s="18">
        <v>1.0398104339398801E-2</v>
      </c>
      <c r="G77" s="18">
        <v>0.50555555555555554</v>
      </c>
      <c r="H77" s="18">
        <v>0</v>
      </c>
      <c r="I77" s="18"/>
      <c r="J77" s="18"/>
      <c r="K77" s="18">
        <f t="shared" si="22"/>
        <v>0.4951959038595905</v>
      </c>
      <c r="L77" s="18">
        <f t="shared" si="23"/>
        <v>0.51553192112469681</v>
      </c>
      <c r="M77" s="18"/>
      <c r="N77" s="18"/>
    </row>
    <row r="78" spans="1:14">
      <c r="A78" s="13">
        <v>75</v>
      </c>
      <c r="B78">
        <v>38</v>
      </c>
      <c r="C78" s="5">
        <v>58634</v>
      </c>
      <c r="D78" s="18">
        <v>0.50328295965269065</v>
      </c>
      <c r="E78" s="18">
        <v>0.51118640050096331</v>
      </c>
      <c r="F78" s="18">
        <v>1.0270933253150399E-2</v>
      </c>
      <c r="G78" s="18">
        <v>0.50555555555555554</v>
      </c>
      <c r="H78" s="18">
        <v>0</v>
      </c>
      <c r="I78" s="18"/>
      <c r="J78" s="18"/>
      <c r="K78" s="18">
        <f t="shared" si="22"/>
        <v>0.49780921440086667</v>
      </c>
      <c r="L78" s="18">
        <f t="shared" si="23"/>
        <v>0.5128688356599177</v>
      </c>
      <c r="M78" s="18"/>
      <c r="N78" s="18"/>
    </row>
    <row r="79" spans="1:14">
      <c r="A79" s="13">
        <v>76</v>
      </c>
      <c r="B79">
        <v>38.5</v>
      </c>
      <c r="C79" s="5">
        <v>58818</v>
      </c>
      <c r="D79" s="18">
        <v>0.49984527842257231</v>
      </c>
      <c r="E79" s="18">
        <v>0.50855337125243827</v>
      </c>
      <c r="F79" s="18">
        <v>1.0129868870633E-2</v>
      </c>
      <c r="G79" s="18">
        <v>0.51111111111111107</v>
      </c>
      <c r="H79" s="18">
        <v>0</v>
      </c>
      <c r="I79" s="18"/>
      <c r="J79" s="18"/>
      <c r="K79" s="18">
        <f t="shared" si="22"/>
        <v>0.50039715759861314</v>
      </c>
      <c r="L79" s="18">
        <f t="shared" si="23"/>
        <v>0.510227140490355</v>
      </c>
      <c r="M79" s="18"/>
      <c r="N79" s="18"/>
    </row>
    <row r="80" spans="1:14">
      <c r="A80" s="13">
        <v>77</v>
      </c>
      <c r="B80">
        <v>39</v>
      </c>
      <c r="C80" s="5">
        <v>58999</v>
      </c>
      <c r="D80" s="18">
        <v>0.49650964556268212</v>
      </c>
      <c r="E80" s="18">
        <v>0.50601548457043399</v>
      </c>
      <c r="F80" s="18">
        <v>9.9754465449435996E-3</v>
      </c>
      <c r="G80" s="18">
        <v>0.50277777777777777</v>
      </c>
      <c r="H80" s="18">
        <v>0</v>
      </c>
      <c r="I80" s="18"/>
      <c r="J80" s="18"/>
      <c r="K80" s="18">
        <f t="shared" si="22"/>
        <v>0.50288736838342718</v>
      </c>
      <c r="L80" s="18">
        <f t="shared" si="23"/>
        <v>0.50768090102396701</v>
      </c>
      <c r="M80" s="18"/>
      <c r="N80" s="18"/>
    </row>
    <row r="81" spans="1:14">
      <c r="A81" s="13">
        <v>78</v>
      </c>
      <c r="B81">
        <v>39.5</v>
      </c>
      <c r="C81" s="5">
        <v>59183</v>
      </c>
      <c r="D81" s="18">
        <v>0.49316783235733408</v>
      </c>
      <c r="E81" s="18">
        <v>0.50349129580180585</v>
      </c>
      <c r="F81" s="18">
        <v>9.8087697655727703E-3</v>
      </c>
      <c r="G81" s="18">
        <v>0.51111111111111107</v>
      </c>
      <c r="H81" s="18">
        <v>0</v>
      </c>
      <c r="I81" s="18"/>
      <c r="J81" s="18"/>
      <c r="K81" s="18">
        <f t="shared" si="22"/>
        <v>0.50535980179759898</v>
      </c>
      <c r="L81" s="18">
        <f>(L82*(H82/100*J82-K81+D82))/D82</f>
        <v>0.50514840455402288</v>
      </c>
      <c r="M81" s="18"/>
      <c r="N81" s="18"/>
    </row>
    <row r="82" spans="1:14">
      <c r="A82" s="13">
        <v>79</v>
      </c>
      <c r="B82">
        <v>40</v>
      </c>
      <c r="C82" s="5">
        <v>59364</v>
      </c>
      <c r="D82" s="18">
        <v>0.48993103816542471</v>
      </c>
      <c r="E82" s="18">
        <v>0.50106569279954849</v>
      </c>
      <c r="F82" s="18">
        <v>9.6282859328103293E-3</v>
      </c>
      <c r="G82" s="18">
        <v>0.50277777777777777</v>
      </c>
      <c r="H82" s="18">
        <v>1.8407002438684714</v>
      </c>
      <c r="I82" s="18">
        <v>1</v>
      </c>
      <c r="J82" s="18">
        <v>27.549491555734601</v>
      </c>
      <c r="K82" s="18">
        <f t="shared" si="22"/>
        <v>0.50773150318157001</v>
      </c>
      <c r="L82" s="19">
        <f t="shared" ref="L82:L100" si="24">L83*(1+F83*G83)</f>
        <v>0.50335686307178285</v>
      </c>
      <c r="M82" s="19">
        <v>0.50335686307178296</v>
      </c>
      <c r="N82" s="18">
        <f>L82</f>
        <v>0.50335686307178285</v>
      </c>
    </row>
    <row r="83" spans="1:14">
      <c r="A83" s="13">
        <v>80</v>
      </c>
      <c r="B83">
        <v>40.5</v>
      </c>
      <c r="C83" s="5">
        <v>59548</v>
      </c>
      <c r="D83" s="18">
        <v>0.48669362634470931</v>
      </c>
      <c r="E83" s="18">
        <v>0.49865975423065317</v>
      </c>
      <c r="F83" s="18">
        <v>9.4398456525104004E-3</v>
      </c>
      <c r="G83" s="18">
        <v>0.51111111111111107</v>
      </c>
      <c r="H83" s="18">
        <v>0</v>
      </c>
      <c r="I83" s="18"/>
      <c r="J83" s="18"/>
      <c r="K83" s="18">
        <f t="shared" si="22"/>
        <v>0.51007970745697795</v>
      </c>
      <c r="L83" s="18">
        <f t="shared" si="24"/>
        <v>0.50093992312122215</v>
      </c>
      <c r="M83" s="18"/>
      <c r="N83" s="18"/>
    </row>
    <row r="84" spans="1:14">
      <c r="A84" s="13">
        <v>81</v>
      </c>
      <c r="B84">
        <v>41</v>
      </c>
      <c r="C84" s="5">
        <v>59729</v>
      </c>
      <c r="D84" s="18">
        <v>0.4835606296701902</v>
      </c>
      <c r="E84" s="18">
        <v>0.49634912885889831</v>
      </c>
      <c r="F84" s="18">
        <v>9.2590451040213406E-3</v>
      </c>
      <c r="G84" s="18">
        <v>0.50277777777777777</v>
      </c>
      <c r="H84" s="18">
        <v>0</v>
      </c>
      <c r="I84" s="18"/>
      <c r="J84" s="18"/>
      <c r="K84" s="18">
        <f t="shared" si="22"/>
        <v>0.51233079926863567</v>
      </c>
      <c r="L84" s="18">
        <f t="shared" si="24"/>
        <v>0.49861873219641079</v>
      </c>
      <c r="M84" s="18"/>
      <c r="N84" s="18"/>
    </row>
    <row r="85" spans="1:14">
      <c r="A85" s="13">
        <v>82</v>
      </c>
      <c r="B85">
        <v>41.5</v>
      </c>
      <c r="C85" s="5">
        <v>59915</v>
      </c>
      <c r="D85" s="18">
        <v>0.48039334667767708</v>
      </c>
      <c r="E85" s="18">
        <v>0.49402867581010651</v>
      </c>
      <c r="F85" s="18">
        <v>9.0909691464970098E-3</v>
      </c>
      <c r="G85" s="18">
        <v>0.51666666666666672</v>
      </c>
      <c r="H85" s="18">
        <v>0</v>
      </c>
      <c r="I85" s="18"/>
      <c r="J85" s="18"/>
      <c r="K85" s="18">
        <f t="shared" si="22"/>
        <v>0.51458720716659745</v>
      </c>
      <c r="L85" s="18">
        <f t="shared" si="24"/>
        <v>0.49628766865657975</v>
      </c>
      <c r="M85" s="18"/>
      <c r="N85" s="18"/>
    </row>
    <row r="86" spans="1:14">
      <c r="A86" s="13">
        <v>83</v>
      </c>
      <c r="B86">
        <v>42</v>
      </c>
      <c r="C86" s="5">
        <v>60097</v>
      </c>
      <c r="D86" s="18">
        <v>0.4773444128346101</v>
      </c>
      <c r="E86" s="18">
        <v>0.49180732439275149</v>
      </c>
      <c r="F86" s="18">
        <v>8.9341530849784603E-3</v>
      </c>
      <c r="G86" s="18">
        <v>0.50555555555555554</v>
      </c>
      <c r="H86" s="18">
        <v>0</v>
      </c>
      <c r="I86" s="18"/>
      <c r="J86" s="18"/>
      <c r="K86" s="18">
        <f t="shared" si="22"/>
        <v>0.51674323379618436</v>
      </c>
      <c r="L86" s="18">
        <f t="shared" si="24"/>
        <v>0.49405615989976853</v>
      </c>
      <c r="M86" s="18"/>
      <c r="N86" s="18"/>
    </row>
    <row r="87" spans="1:14">
      <c r="A87" s="13">
        <v>84</v>
      </c>
      <c r="B87">
        <v>42.5</v>
      </c>
      <c r="C87" s="5">
        <v>60279</v>
      </c>
      <c r="D87" s="18">
        <v>0.47434415945888991</v>
      </c>
      <c r="E87" s="18">
        <v>0.4896309584163458</v>
      </c>
      <c r="F87" s="18">
        <v>8.7916116448463408E-3</v>
      </c>
      <c r="G87" s="18">
        <v>0.50555555555555554</v>
      </c>
      <c r="H87" s="18">
        <v>0</v>
      </c>
      <c r="I87" s="18"/>
      <c r="J87" s="18"/>
      <c r="K87" s="18">
        <f t="shared" si="22"/>
        <v>0.51885152666769929</v>
      </c>
      <c r="L87" s="18">
        <f t="shared" si="24"/>
        <v>0.49186997096328594</v>
      </c>
      <c r="M87" s="18"/>
      <c r="N87" s="18"/>
    </row>
    <row r="88" spans="1:14">
      <c r="A88" s="13">
        <v>85</v>
      </c>
      <c r="B88">
        <v>43</v>
      </c>
      <c r="C88" s="5">
        <v>60461</v>
      </c>
      <c r="D88" s="18">
        <v>0.47139160614948861</v>
      </c>
      <c r="E88" s="18">
        <v>0.48749599328334481</v>
      </c>
      <c r="F88" s="18">
        <v>8.6626516188248893E-3</v>
      </c>
      <c r="G88" s="18">
        <v>0.50555555555555554</v>
      </c>
      <c r="H88" s="18">
        <v>0</v>
      </c>
      <c r="I88" s="18"/>
      <c r="J88" s="18"/>
      <c r="K88" s="18">
        <f t="shared" si="22"/>
        <v>0.52091596341586666</v>
      </c>
      <c r="L88" s="18">
        <f t="shared" si="24"/>
        <v>0.48972524293919745</v>
      </c>
      <c r="M88" s="18"/>
      <c r="N88" s="18"/>
    </row>
    <row r="89" spans="1:14">
      <c r="A89" s="13">
        <v>86</v>
      </c>
      <c r="B89">
        <v>43.5</v>
      </c>
      <c r="C89" s="5">
        <v>60644</v>
      </c>
      <c r="D89" s="18">
        <v>0.46846995448104201</v>
      </c>
      <c r="E89" s="18">
        <v>0.48538748473141352</v>
      </c>
      <c r="F89" s="18">
        <v>8.5453174166054604E-3</v>
      </c>
      <c r="G89" s="18">
        <v>0.5083333333333333</v>
      </c>
      <c r="H89" s="18">
        <v>0</v>
      </c>
      <c r="I89" s="18"/>
      <c r="J89" s="18"/>
      <c r="K89" s="18">
        <f t="shared" si="22"/>
        <v>0.5229509358503015</v>
      </c>
      <c r="L89" s="18">
        <f t="shared" si="24"/>
        <v>0.48760714106009179</v>
      </c>
      <c r="M89" s="18"/>
      <c r="N89" s="18"/>
    </row>
    <row r="90" spans="1:14">
      <c r="A90" s="13">
        <v>87</v>
      </c>
      <c r="B90">
        <v>44</v>
      </c>
      <c r="C90" s="5">
        <v>60825</v>
      </c>
      <c r="D90" s="18">
        <v>0.46562578064583421</v>
      </c>
      <c r="E90" s="18">
        <v>0.48333624725846241</v>
      </c>
      <c r="F90" s="18">
        <v>8.4409339494139791E-3</v>
      </c>
      <c r="G90" s="18">
        <v>0.50277777777777777</v>
      </c>
      <c r="H90" s="18">
        <v>0</v>
      </c>
      <c r="I90" s="18"/>
      <c r="J90" s="18"/>
      <c r="K90" s="18">
        <f t="shared" si="22"/>
        <v>0.52492701162581046</v>
      </c>
      <c r="L90" s="18">
        <f t="shared" si="24"/>
        <v>0.48554652336539683</v>
      </c>
      <c r="M90" s="18"/>
      <c r="N90" s="18"/>
    </row>
    <row r="91" spans="1:14">
      <c r="A91" s="13">
        <v>88</v>
      </c>
      <c r="B91">
        <v>44.5</v>
      </c>
      <c r="C91" s="5">
        <v>61009</v>
      </c>
      <c r="D91" s="18">
        <v>0.46277995896916652</v>
      </c>
      <c r="E91" s="18">
        <v>0.48128244372266532</v>
      </c>
      <c r="F91" s="18">
        <v>8.3491748309134205E-3</v>
      </c>
      <c r="G91" s="18">
        <v>0.51111111111111107</v>
      </c>
      <c r="H91" s="18">
        <v>0</v>
      </c>
      <c r="I91" s="18"/>
      <c r="J91" s="18"/>
      <c r="K91" s="18">
        <f t="shared" si="22"/>
        <v>0.52690185847182291</v>
      </c>
      <c r="L91" s="18">
        <f t="shared" si="24"/>
        <v>0.48348332787335974</v>
      </c>
      <c r="M91" s="18"/>
      <c r="N91" s="18"/>
    </row>
    <row r="92" spans="1:14">
      <c r="A92" s="13">
        <v>89</v>
      </c>
      <c r="B92">
        <v>45</v>
      </c>
      <c r="C92" s="5">
        <v>61190</v>
      </c>
      <c r="D92" s="18">
        <v>0.46002438942535051</v>
      </c>
      <c r="E92" s="18">
        <v>0.47928971420650379</v>
      </c>
      <c r="F92" s="18">
        <v>8.2694032527044995E-3</v>
      </c>
      <c r="G92" s="18">
        <v>0.50277777777777777</v>
      </c>
      <c r="H92" s="18">
        <v>0</v>
      </c>
      <c r="I92" s="18"/>
      <c r="J92" s="18"/>
      <c r="K92" s="18">
        <f t="shared" si="22"/>
        <v>0.5288144890828923</v>
      </c>
      <c r="L92" s="18">
        <f t="shared" si="24"/>
        <v>0.48148148568985305</v>
      </c>
      <c r="M92" s="18"/>
      <c r="N92" s="18"/>
    </row>
    <row r="93" spans="1:14">
      <c r="A93" s="13">
        <v>90</v>
      </c>
      <c r="B93">
        <v>45.5</v>
      </c>
      <c r="C93" s="5">
        <v>61374</v>
      </c>
      <c r="D93" s="18">
        <v>0.45726682763226401</v>
      </c>
      <c r="E93" s="18">
        <v>0.47728865240006779</v>
      </c>
      <c r="F93" s="18">
        <v>8.2028368073458306E-3</v>
      </c>
      <c r="G93" s="18">
        <v>0.51111111111111107</v>
      </c>
      <c r="H93" s="18">
        <v>0</v>
      </c>
      <c r="I93" s="18"/>
      <c r="J93" s="18"/>
      <c r="K93" s="18">
        <f t="shared" si="22"/>
        <v>0.53073160816695997</v>
      </c>
      <c r="L93" s="18">
        <f t="shared" si="24"/>
        <v>0.47947127311286264</v>
      </c>
      <c r="M93" s="18"/>
      <c r="N93" s="18"/>
    </row>
    <row r="94" spans="1:14">
      <c r="A94" s="13">
        <v>91</v>
      </c>
      <c r="B94">
        <v>46</v>
      </c>
      <c r="C94" s="5">
        <v>61556</v>
      </c>
      <c r="D94" s="18">
        <v>0.45458169239949059</v>
      </c>
      <c r="E94" s="18">
        <v>0.47533058089557279</v>
      </c>
      <c r="F94" s="18">
        <v>8.1482417208092097E-3</v>
      </c>
      <c r="G94" s="18">
        <v>0.50555555555555554</v>
      </c>
      <c r="H94" s="18">
        <v>0</v>
      </c>
      <c r="I94" s="18"/>
      <c r="J94" s="18"/>
      <c r="K94" s="18">
        <f t="shared" si="22"/>
        <v>0.53260420693112009</v>
      </c>
      <c r="L94" s="18">
        <f t="shared" si="24"/>
        <v>0.47750424743063602</v>
      </c>
      <c r="M94" s="18"/>
      <c r="N94" s="18"/>
    </row>
    <row r="95" spans="1:14">
      <c r="A95" s="13">
        <v>92</v>
      </c>
      <c r="B95">
        <v>46.5</v>
      </c>
      <c r="C95" s="5">
        <v>61742</v>
      </c>
      <c r="D95" s="18">
        <v>0.45188028198482799</v>
      </c>
      <c r="E95" s="18">
        <v>0.47334797928999178</v>
      </c>
      <c r="F95" s="18">
        <v>8.1067071119907304E-3</v>
      </c>
      <c r="G95" s="18">
        <v>0.51666666666666672</v>
      </c>
      <c r="H95" s="18">
        <v>0</v>
      </c>
      <c r="I95" s="18"/>
      <c r="J95" s="18"/>
      <c r="K95" s="18">
        <f t="shared" si="22"/>
        <v>0.53449689183058302</v>
      </c>
      <c r="L95" s="18">
        <f t="shared" si="24"/>
        <v>0.47551257947221431</v>
      </c>
      <c r="M95" s="18"/>
      <c r="N95" s="18"/>
    </row>
    <row r="96" spans="1:14">
      <c r="A96" s="13">
        <v>93</v>
      </c>
      <c r="B96">
        <v>47</v>
      </c>
      <c r="C96" s="5">
        <v>61921</v>
      </c>
      <c r="D96" s="18">
        <v>0.44932051302385029</v>
      </c>
      <c r="E96" s="18">
        <v>0.47145456425612797</v>
      </c>
      <c r="F96" s="18">
        <v>8.0772026974377208E-3</v>
      </c>
      <c r="G96" s="18">
        <v>0.49722222222222218</v>
      </c>
      <c r="H96" s="18">
        <v>0</v>
      </c>
      <c r="I96" s="18"/>
      <c r="J96" s="18"/>
      <c r="K96" s="18">
        <f t="shared" si="22"/>
        <v>0.53630143700254429</v>
      </c>
      <c r="L96" s="18">
        <f t="shared" si="24"/>
        <v>0.47361048178576531</v>
      </c>
      <c r="M96" s="18"/>
      <c r="N96" s="18"/>
    </row>
    <row r="97" spans="1:17">
      <c r="A97" s="13">
        <v>94</v>
      </c>
      <c r="B97">
        <v>47.5</v>
      </c>
      <c r="C97" s="5">
        <v>62106</v>
      </c>
      <c r="D97" s="18">
        <v>0.44671531179977891</v>
      </c>
      <c r="E97" s="18">
        <v>0.46950955127735849</v>
      </c>
      <c r="F97" s="18">
        <v>8.0613698071773897E-3</v>
      </c>
      <c r="G97" s="18">
        <v>0.51388888888888884</v>
      </c>
      <c r="H97" s="18">
        <v>0</v>
      </c>
      <c r="I97" s="18"/>
      <c r="J97" s="18"/>
      <c r="K97" s="18">
        <f t="shared" si="22"/>
        <v>0.53815202146222518</v>
      </c>
      <c r="L97" s="18">
        <f t="shared" si="24"/>
        <v>0.47165657444496351</v>
      </c>
      <c r="M97" s="18"/>
      <c r="N97" s="18"/>
    </row>
    <row r="98" spans="1:17">
      <c r="A98" s="13">
        <v>95</v>
      </c>
      <c r="B98">
        <v>48</v>
      </c>
      <c r="C98" s="5">
        <v>62288</v>
      </c>
      <c r="D98" s="18">
        <v>0.44419159681857179</v>
      </c>
      <c r="E98" s="18">
        <v>0.46760479806134042</v>
      </c>
      <c r="F98" s="18">
        <v>8.0573247742801099E-3</v>
      </c>
      <c r="G98" s="18">
        <v>0.50555555555555554</v>
      </c>
      <c r="H98" s="18">
        <v>0</v>
      </c>
      <c r="I98" s="18"/>
      <c r="J98" s="18"/>
      <c r="K98" s="18">
        <f t="shared" si="22"/>
        <v>0.5399614027518872</v>
      </c>
      <c r="L98" s="18">
        <f t="shared" si="24"/>
        <v>0.46974311097103427</v>
      </c>
      <c r="M98" s="18"/>
      <c r="N98" s="18"/>
    </row>
    <row r="99" spans="1:17">
      <c r="A99" s="13">
        <v>96</v>
      </c>
      <c r="B99">
        <v>48.5</v>
      </c>
      <c r="C99" s="5">
        <v>62470</v>
      </c>
      <c r="D99" s="18">
        <v>0.44170601590680081</v>
      </c>
      <c r="E99" s="18">
        <v>0.46570569634089187</v>
      </c>
      <c r="F99" s="18">
        <v>8.0664530618313798E-3</v>
      </c>
      <c r="G99" s="18">
        <v>0.50555555555555554</v>
      </c>
      <c r="H99" s="18">
        <v>0</v>
      </c>
      <c r="I99" s="18"/>
      <c r="J99" s="18"/>
      <c r="K99" s="18">
        <f t="shared" si="22"/>
        <v>0.54176269762324336</v>
      </c>
      <c r="L99" s="18">
        <f t="shared" si="24"/>
        <v>0.46783525999296943</v>
      </c>
      <c r="M99" s="18"/>
      <c r="N99" s="18"/>
      <c r="P99" s="5">
        <v>59364</v>
      </c>
      <c r="Q99" s="18">
        <f>M82</f>
        <v>0.50335686307178296</v>
      </c>
    </row>
    <row r="100" spans="1:17">
      <c r="A100" s="13">
        <v>97</v>
      </c>
      <c r="B100">
        <v>49</v>
      </c>
      <c r="C100" s="5">
        <v>62652</v>
      </c>
      <c r="D100" s="18">
        <v>0.4392578039092318</v>
      </c>
      <c r="E100" s="18">
        <v>0.46380931440043982</v>
      </c>
      <c r="F100" s="18">
        <v>8.0875589180164006E-3</v>
      </c>
      <c r="G100" s="18">
        <v>0.50555555555555554</v>
      </c>
      <c r="H100" s="18">
        <v>0</v>
      </c>
      <c r="I100" s="18"/>
      <c r="J100" s="18"/>
      <c r="K100" s="18">
        <f t="shared" ref="K100:K122" si="25">K99+(F100*G100*D100)</f>
        <v>0.54355869554884118</v>
      </c>
      <c r="L100" s="18">
        <f t="shared" si="24"/>
        <v>0.46593020633971116</v>
      </c>
      <c r="M100" s="18"/>
      <c r="N100" s="18"/>
      <c r="P100" s="5">
        <v>66670</v>
      </c>
      <c r="Q100" s="18">
        <f>M122</f>
        <v>0.42693195747024798</v>
      </c>
    </row>
    <row r="101" spans="1:17">
      <c r="A101" s="13">
        <v>98</v>
      </c>
      <c r="B101">
        <v>49.5</v>
      </c>
      <c r="C101" s="5">
        <v>62835</v>
      </c>
      <c r="D101" s="18">
        <v>0.43683305994826649</v>
      </c>
      <c r="E101" s="18">
        <v>0.46190234191945129</v>
      </c>
      <c r="F101" s="18">
        <v>8.1218840242567106E-3</v>
      </c>
      <c r="G101" s="18">
        <v>0.5083333333333333</v>
      </c>
      <c r="H101" s="18">
        <v>0</v>
      </c>
      <c r="I101" s="18"/>
      <c r="J101" s="18"/>
      <c r="K101" s="18">
        <f t="shared" si="25"/>
        <v>0.54536221516969552</v>
      </c>
      <c r="L101" s="18">
        <f>(L102*(H102/100*J102-K101+D102))/D102</f>
        <v>0.464014464907686</v>
      </c>
      <c r="M101" s="18"/>
      <c r="N101" s="18"/>
      <c r="P101" s="5"/>
      <c r="Q101" s="18"/>
    </row>
    <row r="102" spans="1:17">
      <c r="A102" s="13">
        <v>99</v>
      </c>
      <c r="B102">
        <v>50</v>
      </c>
      <c r="C102" s="5">
        <v>63017</v>
      </c>
      <c r="D102" s="18">
        <v>0.43445754508781198</v>
      </c>
      <c r="E102" s="18">
        <v>0.46000277084258262</v>
      </c>
      <c r="F102" s="18">
        <v>8.1681971871145394E-3</v>
      </c>
      <c r="G102" s="18">
        <v>0.50555555555555554</v>
      </c>
      <c r="H102" s="18">
        <v>1.6923908859758601</v>
      </c>
      <c r="I102" s="18">
        <v>0.99722222222222223</v>
      </c>
      <c r="J102" s="18">
        <v>32.129337357042132</v>
      </c>
      <c r="K102" s="18">
        <f t="shared" si="25"/>
        <v>0.54715629781242514</v>
      </c>
      <c r="L102" s="18">
        <f t="shared" ref="L102:L120" si="26">L103*(1+F103*G103)</f>
        <v>0.46573849608812307</v>
      </c>
      <c r="M102" s="18"/>
      <c r="N102" s="18">
        <f>Q102</f>
        <v>0.4651444102710155</v>
      </c>
      <c r="P102" s="5">
        <v>63017</v>
      </c>
      <c r="Q102" s="18" cm="1">
        <f t="array" ref="Q102">interpolate(P99:P100,Q99:Q100,P102,"Natural Cubic Spline")</f>
        <v>0.4651444102710155</v>
      </c>
    </row>
    <row r="103" spans="1:17">
      <c r="A103" s="13">
        <v>100</v>
      </c>
      <c r="B103">
        <v>50.5</v>
      </c>
      <c r="C103" s="5">
        <v>63201</v>
      </c>
      <c r="D103" s="18">
        <v>0.43209151992901568</v>
      </c>
      <c r="E103" s="18">
        <v>0.45807702898065161</v>
      </c>
      <c r="F103" s="18">
        <v>8.2251577321086899E-3</v>
      </c>
      <c r="G103" s="18">
        <v>0.51111111111111107</v>
      </c>
      <c r="H103" s="18">
        <v>0</v>
      </c>
      <c r="I103" s="18"/>
      <c r="J103" s="18"/>
      <c r="K103" s="18">
        <f t="shared" si="25"/>
        <v>0.5489727973866656</v>
      </c>
      <c r="L103" s="18">
        <f t="shared" si="26"/>
        <v>0.46378874235732082</v>
      </c>
      <c r="M103" s="18"/>
      <c r="N103" s="18"/>
      <c r="P103" s="5">
        <v>66488</v>
      </c>
      <c r="Q103" s="18" cm="1">
        <f t="array" ref="Q103">interpolate(P99:P100,Q99:Q100,P103,"Natural Cubic Spline")</f>
        <v>0.42883578074146056</v>
      </c>
    </row>
    <row r="104" spans="1:17">
      <c r="A104" s="13">
        <v>101</v>
      </c>
      <c r="B104">
        <v>51</v>
      </c>
      <c r="C104" s="5">
        <v>63382</v>
      </c>
      <c r="D104" s="18">
        <v>0.42979759775090948</v>
      </c>
      <c r="E104" s="18">
        <v>0.45617770642395977</v>
      </c>
      <c r="F104" s="18">
        <v>8.2811107833842199E-3</v>
      </c>
      <c r="G104" s="18">
        <v>0.50277777777777777</v>
      </c>
      <c r="H104" s="18">
        <v>0</v>
      </c>
      <c r="I104" s="18"/>
      <c r="J104" s="18"/>
      <c r="K104" s="18">
        <f t="shared" si="25"/>
        <v>0.55076228481826228</v>
      </c>
      <c r="L104" s="18">
        <f t="shared" si="26"/>
        <v>0.46186573735124314</v>
      </c>
      <c r="M104" s="18"/>
      <c r="N104" s="18"/>
    </row>
    <row r="105" spans="1:17">
      <c r="A105" s="13">
        <v>102</v>
      </c>
      <c r="B105">
        <v>51.5</v>
      </c>
      <c r="C105" s="5">
        <v>63566</v>
      </c>
      <c r="D105" s="18">
        <v>0.42749820729406318</v>
      </c>
      <c r="E105" s="18">
        <v>0.45424265881200709</v>
      </c>
      <c r="F105" s="18">
        <v>8.3346701275028908E-3</v>
      </c>
      <c r="G105" s="18">
        <v>0.51111111111111107</v>
      </c>
      <c r="H105" s="18">
        <v>0</v>
      </c>
      <c r="I105" s="18"/>
      <c r="J105" s="18"/>
      <c r="K105" s="18">
        <f t="shared" si="25"/>
        <v>0.55258340260429739</v>
      </c>
      <c r="L105" s="18">
        <f t="shared" si="26"/>
        <v>0.45990656183801959</v>
      </c>
      <c r="M105" s="18"/>
      <c r="N105" s="18"/>
    </row>
    <row r="106" spans="1:17">
      <c r="A106" s="13">
        <v>103</v>
      </c>
      <c r="B106">
        <v>52</v>
      </c>
      <c r="C106" s="5">
        <v>63747</v>
      </c>
      <c r="D106" s="18">
        <v>0.42526686220753063</v>
      </c>
      <c r="E106" s="18">
        <v>0.45233577293794869</v>
      </c>
      <c r="F106" s="18">
        <v>8.3847031627381999E-3</v>
      </c>
      <c r="G106" s="18">
        <v>0.50277777777777777</v>
      </c>
      <c r="H106" s="18">
        <v>0</v>
      </c>
      <c r="I106" s="18"/>
      <c r="J106" s="18"/>
      <c r="K106" s="18">
        <f t="shared" si="25"/>
        <v>0.55437617562992303</v>
      </c>
      <c r="L106" s="18">
        <f t="shared" si="26"/>
        <v>0.45797589920838178</v>
      </c>
      <c r="M106" s="18"/>
      <c r="N106" s="18"/>
    </row>
    <row r="107" spans="1:17">
      <c r="A107" s="13">
        <v>104</v>
      </c>
      <c r="B107">
        <v>52.5</v>
      </c>
      <c r="C107" s="5">
        <v>63933</v>
      </c>
      <c r="D107" s="18">
        <v>0.42300395048401113</v>
      </c>
      <c r="E107" s="18">
        <v>0.45037351900654238</v>
      </c>
      <c r="F107" s="18">
        <v>8.4328022734497608E-3</v>
      </c>
      <c r="G107" s="18">
        <v>0.51666666666666672</v>
      </c>
      <c r="H107" s="18">
        <v>0</v>
      </c>
      <c r="I107" s="18"/>
      <c r="J107" s="18"/>
      <c r="K107" s="18">
        <f t="shared" si="25"/>
        <v>0.55621918177883822</v>
      </c>
      <c r="L107" s="18">
        <f t="shared" si="26"/>
        <v>0.45598917814302342</v>
      </c>
      <c r="M107" s="18"/>
      <c r="N107" s="18"/>
    </row>
    <row r="108" spans="1:17">
      <c r="A108" s="13">
        <v>105</v>
      </c>
      <c r="B108">
        <v>53</v>
      </c>
      <c r="C108" s="5">
        <v>64112</v>
      </c>
      <c r="D108" s="18">
        <v>0.42085359185350152</v>
      </c>
      <c r="E108" s="18">
        <v>0.44848329287351291</v>
      </c>
      <c r="F108" s="18">
        <v>8.4771553101963201E-3</v>
      </c>
      <c r="G108" s="18">
        <v>0.49722222222222218</v>
      </c>
      <c r="H108" s="18">
        <v>0</v>
      </c>
      <c r="I108" s="18"/>
      <c r="J108" s="18"/>
      <c r="K108" s="18">
        <f t="shared" si="25"/>
        <v>0.55799309229472238</v>
      </c>
      <c r="L108" s="18">
        <f t="shared" si="26"/>
        <v>0.45407523739448619</v>
      </c>
      <c r="M108" s="18"/>
      <c r="N108" s="18"/>
    </row>
    <row r="109" spans="1:17">
      <c r="A109" s="13">
        <v>106</v>
      </c>
      <c r="B109">
        <v>53.5</v>
      </c>
      <c r="C109" s="5">
        <v>64297</v>
      </c>
      <c r="D109" s="18">
        <v>0.41865796586185228</v>
      </c>
      <c r="E109" s="18">
        <v>0.44652860355843721</v>
      </c>
      <c r="F109" s="18">
        <v>8.5184234961502292E-3</v>
      </c>
      <c r="G109" s="18">
        <v>0.51388888888888884</v>
      </c>
      <c r="H109" s="18">
        <v>0</v>
      </c>
      <c r="I109" s="18"/>
      <c r="J109" s="18"/>
      <c r="K109" s="18">
        <f t="shared" si="25"/>
        <v>0.55982577724708593</v>
      </c>
      <c r="L109" s="18">
        <f t="shared" si="26"/>
        <v>0.45209617590238782</v>
      </c>
      <c r="M109" s="18"/>
      <c r="N109" s="18"/>
    </row>
    <row r="110" spans="1:17">
      <c r="A110" s="13">
        <v>107</v>
      </c>
      <c r="B110">
        <v>54</v>
      </c>
      <c r="C110" s="5">
        <v>64479</v>
      </c>
      <c r="D110" s="18">
        <v>0.41652316909722831</v>
      </c>
      <c r="E110" s="18">
        <v>0.44460526621556679</v>
      </c>
      <c r="F110" s="18">
        <v>8.5568116809111999E-3</v>
      </c>
      <c r="G110" s="18">
        <v>0.50555555555555554</v>
      </c>
      <c r="H110" s="18">
        <v>0</v>
      </c>
      <c r="I110" s="18"/>
      <c r="J110" s="18"/>
      <c r="K110" s="18">
        <f t="shared" si="25"/>
        <v>0.56162763301931828</v>
      </c>
      <c r="L110" s="18">
        <f t="shared" si="26"/>
        <v>0.45014885729669818</v>
      </c>
      <c r="M110" s="18"/>
      <c r="N110" s="18"/>
    </row>
    <row r="111" spans="1:17">
      <c r="A111" s="13">
        <v>108</v>
      </c>
      <c r="B111">
        <v>54.5</v>
      </c>
      <c r="C111" s="5">
        <v>64662</v>
      </c>
      <c r="D111" s="18">
        <v>0.41440051403291073</v>
      </c>
      <c r="E111" s="18">
        <v>0.44267175799546321</v>
      </c>
      <c r="F111" s="18">
        <v>8.5926166609796902E-3</v>
      </c>
      <c r="G111" s="18">
        <v>0.5083333333333333</v>
      </c>
      <c r="H111" s="18">
        <v>0</v>
      </c>
      <c r="I111" s="18"/>
      <c r="J111" s="18"/>
      <c r="K111" s="18">
        <f t="shared" si="25"/>
        <v>0.56343769860626047</v>
      </c>
      <c r="L111" s="18">
        <f t="shared" si="26"/>
        <v>0.44819119693078846</v>
      </c>
      <c r="M111" s="18"/>
      <c r="N111" s="18"/>
    </row>
    <row r="112" spans="1:17">
      <c r="A112" s="13">
        <v>109</v>
      </c>
      <c r="B112">
        <v>55</v>
      </c>
      <c r="C112" s="5">
        <v>64843</v>
      </c>
      <c r="D112" s="18">
        <v>0.41232330304732701</v>
      </c>
      <c r="E112" s="18">
        <v>0.4407604879776853</v>
      </c>
      <c r="F112" s="18">
        <v>8.6246864987292293E-3</v>
      </c>
      <c r="G112" s="18">
        <v>0.50277777777777777</v>
      </c>
      <c r="H112" s="18">
        <v>0</v>
      </c>
      <c r="I112" s="18"/>
      <c r="J112" s="18"/>
      <c r="K112" s="18">
        <f t="shared" si="25"/>
        <v>0.56522565643878153</v>
      </c>
      <c r="L112" s="18">
        <f t="shared" si="26"/>
        <v>0.44625609630271862</v>
      </c>
      <c r="M112" s="18"/>
      <c r="N112" s="18"/>
    </row>
    <row r="113" spans="1:14">
      <c r="A113" s="13">
        <v>110</v>
      </c>
      <c r="B113">
        <v>55.5</v>
      </c>
      <c r="C113" s="5">
        <v>65027</v>
      </c>
      <c r="D113" s="18">
        <v>0.41023303462068861</v>
      </c>
      <c r="E113" s="18">
        <v>0.43881938792169117</v>
      </c>
      <c r="F113" s="18">
        <v>8.6545958585986602E-3</v>
      </c>
      <c r="G113" s="18">
        <v>0.51111111111111107</v>
      </c>
      <c r="H113" s="18">
        <v>0</v>
      </c>
      <c r="I113" s="18"/>
      <c r="J113" s="18"/>
      <c r="K113" s="18">
        <f t="shared" si="25"/>
        <v>0.56704030590138677</v>
      </c>
      <c r="L113" s="18">
        <f t="shared" si="26"/>
        <v>0.44429079370153629</v>
      </c>
      <c r="M113" s="18"/>
      <c r="N113" s="18"/>
    </row>
    <row r="114" spans="1:14">
      <c r="A114" s="13">
        <v>111</v>
      </c>
      <c r="B114">
        <v>56</v>
      </c>
      <c r="C114" s="5">
        <v>65208</v>
      </c>
      <c r="D114" s="18">
        <v>0.40819661459807471</v>
      </c>
      <c r="E114" s="18">
        <v>0.43691244865275902</v>
      </c>
      <c r="F114" s="18">
        <v>8.6809322952843097E-3</v>
      </c>
      <c r="G114" s="18">
        <v>0.50277777777777777</v>
      </c>
      <c r="H114" s="18">
        <v>0</v>
      </c>
      <c r="I114" s="18"/>
      <c r="J114" s="18"/>
      <c r="K114" s="18">
        <f t="shared" si="25"/>
        <v>0.56882191261967208</v>
      </c>
      <c r="L114" s="18">
        <f t="shared" si="26"/>
        <v>0.44236007782011832</v>
      </c>
      <c r="M114" s="18"/>
      <c r="N114" s="18"/>
    </row>
    <row r="115" spans="1:14">
      <c r="A115" s="13">
        <v>112</v>
      </c>
      <c r="B115">
        <v>56.5</v>
      </c>
      <c r="C115" s="5">
        <v>65392</v>
      </c>
      <c r="D115" s="18">
        <v>0.40614527843017612</v>
      </c>
      <c r="E115" s="18">
        <v>0.43497715428004807</v>
      </c>
      <c r="F115" s="18">
        <v>8.7049296142755594E-3</v>
      </c>
      <c r="G115" s="18">
        <v>0.51111111111111107</v>
      </c>
      <c r="H115" s="18">
        <v>0</v>
      </c>
      <c r="I115" s="18"/>
      <c r="J115" s="18"/>
      <c r="K115" s="18">
        <f t="shared" si="25"/>
        <v>0.57062892860686798</v>
      </c>
      <c r="L115" s="18">
        <f t="shared" si="26"/>
        <v>0.44040065329019923</v>
      </c>
      <c r="M115" s="18"/>
      <c r="N115" s="18"/>
    </row>
    <row r="116" spans="1:14">
      <c r="A116" s="13">
        <v>113</v>
      </c>
      <c r="B116">
        <v>57</v>
      </c>
      <c r="C116" s="5">
        <v>65573</v>
      </c>
      <c r="D116" s="18">
        <v>0.40414470883480152</v>
      </c>
      <c r="E116" s="18">
        <v>0.43307728307130727</v>
      </c>
      <c r="F116" s="18">
        <v>8.7253465216486307E-3</v>
      </c>
      <c r="G116" s="18">
        <v>0.50277777777777777</v>
      </c>
      <c r="H116" s="18">
        <v>0</v>
      </c>
      <c r="I116" s="18"/>
      <c r="J116" s="18"/>
      <c r="K116" s="18">
        <f t="shared" si="25"/>
        <v>0.57240187520668706</v>
      </c>
      <c r="L116" s="18">
        <f t="shared" si="26"/>
        <v>0.4384770935968596</v>
      </c>
      <c r="M116" s="18"/>
      <c r="N116" s="18"/>
    </row>
    <row r="117" spans="1:14">
      <c r="A117" s="13">
        <v>114</v>
      </c>
      <c r="B117">
        <v>57.5</v>
      </c>
      <c r="C117" s="5">
        <v>65757</v>
      </c>
      <c r="D117" s="18">
        <v>0.40212737607779281</v>
      </c>
      <c r="E117" s="18">
        <v>0.43115052977559809</v>
      </c>
      <c r="F117" s="18">
        <v>8.7434305391164303E-3</v>
      </c>
      <c r="G117" s="18">
        <v>0.51111111111111107</v>
      </c>
      <c r="H117" s="18">
        <v>0</v>
      </c>
      <c r="I117" s="18"/>
      <c r="J117" s="18"/>
      <c r="K117" s="18">
        <f t="shared" si="25"/>
        <v>0.57419892796122274</v>
      </c>
      <c r="L117" s="18">
        <f t="shared" si="26"/>
        <v>0.43652631663809305</v>
      </c>
      <c r="M117" s="18"/>
      <c r="N117" s="18"/>
    </row>
    <row r="118" spans="1:14">
      <c r="A118" s="13">
        <v>115</v>
      </c>
      <c r="B118">
        <v>58</v>
      </c>
      <c r="C118" s="5">
        <v>65939</v>
      </c>
      <c r="D118" s="18">
        <v>0.40014705654540328</v>
      </c>
      <c r="E118" s="18">
        <v>0.42924994370055652</v>
      </c>
      <c r="F118" s="18">
        <v>8.7580699374005203E-3</v>
      </c>
      <c r="G118" s="18">
        <v>0.50555555555555554</v>
      </c>
      <c r="H118" s="18">
        <v>0</v>
      </c>
      <c r="I118" s="18"/>
      <c r="J118" s="18"/>
      <c r="K118" s="18">
        <f t="shared" si="25"/>
        <v>0.57597065544727122</v>
      </c>
      <c r="L118" s="18">
        <f t="shared" si="26"/>
        <v>0.4346020331651646</v>
      </c>
      <c r="M118" s="18"/>
      <c r="N118" s="18"/>
    </row>
    <row r="119" spans="1:14">
      <c r="A119" s="13">
        <v>116</v>
      </c>
      <c r="B119">
        <v>58.5</v>
      </c>
      <c r="C119" s="5">
        <v>66124</v>
      </c>
      <c r="D119" s="18">
        <v>0.39814828570278787</v>
      </c>
      <c r="E119" s="18">
        <v>0.42732401412408821</v>
      </c>
      <c r="F119" s="18">
        <v>8.77028841729857E-3</v>
      </c>
      <c r="G119" s="18">
        <v>0.51388888888888884</v>
      </c>
      <c r="H119" s="18">
        <v>0</v>
      </c>
      <c r="I119" s="18"/>
      <c r="J119" s="18"/>
      <c r="K119" s="18">
        <f t="shared" si="25"/>
        <v>0.57776509136453869</v>
      </c>
      <c r="L119" s="18">
        <f t="shared" si="26"/>
        <v>0.43265209019615636</v>
      </c>
      <c r="M119" s="18"/>
      <c r="N119" s="18"/>
    </row>
    <row r="120" spans="1:14">
      <c r="A120" s="13">
        <v>117</v>
      </c>
      <c r="B120">
        <v>59</v>
      </c>
      <c r="C120" s="5">
        <v>66306</v>
      </c>
      <c r="D120" s="18">
        <v>0.39619474870736199</v>
      </c>
      <c r="E120" s="18">
        <v>0.42543583897085763</v>
      </c>
      <c r="F120" s="18">
        <v>8.7788841684794394E-3</v>
      </c>
      <c r="G120" s="18">
        <v>0.50555555555555554</v>
      </c>
      <c r="H120" s="18">
        <v>0</v>
      </c>
      <c r="I120" s="18"/>
      <c r="J120" s="18"/>
      <c r="K120" s="18">
        <f t="shared" si="25"/>
        <v>0.57952348831144218</v>
      </c>
      <c r="L120" s="18">
        <f t="shared" si="26"/>
        <v>0.43074037239022839</v>
      </c>
      <c r="M120" s="18"/>
      <c r="N120" s="18"/>
    </row>
    <row r="121" spans="1:14">
      <c r="A121" s="13">
        <v>118</v>
      </c>
      <c r="B121">
        <v>59.5</v>
      </c>
      <c r="C121" s="5">
        <v>66488</v>
      </c>
      <c r="D121" s="18">
        <v>0.39425281878583501</v>
      </c>
      <c r="E121" s="18">
        <v>0.4235547524322909</v>
      </c>
      <c r="F121" s="18">
        <v>8.7850042128156895E-3</v>
      </c>
      <c r="G121" s="18">
        <v>0.50555555555555554</v>
      </c>
      <c r="H121" s="18">
        <v>0</v>
      </c>
      <c r="I121" s="18"/>
      <c r="J121" s="18"/>
      <c r="K121" s="18">
        <f t="shared" si="25"/>
        <v>0.58127448638549373</v>
      </c>
      <c r="L121" s="18">
        <f>(L122*(H122/100*J122-K121+D122))/D122</f>
        <v>0.42883578074146056</v>
      </c>
      <c r="M121" s="18"/>
      <c r="N121" s="18"/>
    </row>
    <row r="122" spans="1:14">
      <c r="A122" s="13">
        <v>119</v>
      </c>
      <c r="B122">
        <v>60</v>
      </c>
      <c r="C122" s="5">
        <v>66670</v>
      </c>
      <c r="D122" s="18">
        <v>0.39232141315840419</v>
      </c>
      <c r="E122" s="18">
        <v>0.42168135874896218</v>
      </c>
      <c r="F122" s="18">
        <v>8.7877109154303693E-3</v>
      </c>
      <c r="G122" s="18">
        <v>0.50555555555555554</v>
      </c>
      <c r="H122" s="18">
        <v>1.6089531947107949</v>
      </c>
      <c r="I122" s="18">
        <v>0.99722222222222223</v>
      </c>
      <c r="J122" s="18">
        <v>36.236229389371289</v>
      </c>
      <c r="K122" s="18">
        <f t="shared" si="25"/>
        <v>0.58301744334101591</v>
      </c>
      <c r="L122" s="19">
        <f>(D122*Q103)/(H122/100*J122-K121+D122)</f>
        <v>0.42693195747024798</v>
      </c>
      <c r="M122" s="19">
        <v>0.42693195747024798</v>
      </c>
      <c r="N122" s="18">
        <f>L122</f>
        <v>0.42693195747024798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585A-690A-4249-B865-6F2DD8D626EB}">
  <sheetPr codeName="Sheet10"/>
  <dimension ref="A1:Q122"/>
  <sheetViews>
    <sheetView topLeftCell="B1" zoomScaleNormal="100" workbookViewId="0">
      <pane ySplit="1" topLeftCell="A96" activePane="bottomLeft" state="frozen"/>
      <selection pane="bottomLeft" activeCell="P111" sqref="P111"/>
    </sheetView>
  </sheetViews>
  <sheetFormatPr defaultRowHeight="14.4"/>
  <cols>
    <col min="2" max="3" width="10.77734375" bestFit="1" customWidth="1"/>
    <col min="14" max="14" width="10.5546875" bestFit="1" customWidth="1"/>
    <col min="16" max="16" width="10.5546875" bestFit="1" customWidth="1"/>
  </cols>
  <sheetData>
    <row r="1" spans="1:14">
      <c r="B1" s="1" t="s">
        <v>0</v>
      </c>
      <c r="C1" s="1" t="s">
        <v>1</v>
      </c>
      <c r="D1" s="1" t="s">
        <v>2</v>
      </c>
      <c r="E1" s="1" t="s">
        <v>3</v>
      </c>
      <c r="F1" s="1" t="s">
        <v>23</v>
      </c>
      <c r="G1" s="1" t="s">
        <v>4</v>
      </c>
      <c r="H1" s="1" t="s">
        <v>22</v>
      </c>
      <c r="I1" s="2" t="s">
        <v>5</v>
      </c>
      <c r="J1" s="2" t="s">
        <v>6</v>
      </c>
      <c r="K1" s="2" t="s">
        <v>7</v>
      </c>
      <c r="L1" s="12" t="s">
        <v>19</v>
      </c>
      <c r="N1" s="23" t="s">
        <v>20</v>
      </c>
    </row>
    <row r="2" spans="1:14">
      <c r="B2">
        <v>0</v>
      </c>
      <c r="C2" s="5">
        <v>44754</v>
      </c>
      <c r="E2">
        <v>1</v>
      </c>
      <c r="F2">
        <v>0</v>
      </c>
      <c r="G2">
        <v>0</v>
      </c>
      <c r="H2">
        <v>0</v>
      </c>
      <c r="L2">
        <f>L3*(1+H3/100*G3)</f>
        <v>1.000000000198471</v>
      </c>
    </row>
    <row r="3" spans="1:14">
      <c r="A3" s="13">
        <v>0</v>
      </c>
      <c r="B3">
        <v>0.5</v>
      </c>
      <c r="C3" s="5">
        <v>44938</v>
      </c>
      <c r="D3" s="18">
        <v>0.99904288423151055</v>
      </c>
      <c r="E3" s="18">
        <v>0.99801063213993446</v>
      </c>
      <c r="F3" s="18">
        <v>3.89999999999991E-3</v>
      </c>
      <c r="G3" s="18">
        <v>0.51111111111111107</v>
      </c>
      <c r="H3" s="18">
        <v>0.38999916777570132</v>
      </c>
      <c r="I3" s="18"/>
      <c r="J3" s="18"/>
      <c r="K3" s="18">
        <f>F3*G3*D3</f>
        <v>1.9914254825680981E-3</v>
      </c>
      <c r="L3" s="18">
        <f>L4*(1+H4/100*G4)</f>
        <v>0.99801063657469435</v>
      </c>
      <c r="M3" s="18"/>
      <c r="N3" s="18">
        <f t="shared" ref="N3:N5" si="0">L3</f>
        <v>0.99801063657469435</v>
      </c>
    </row>
    <row r="4" spans="1:14">
      <c r="A4" s="13">
        <v>1</v>
      </c>
      <c r="B4">
        <v>1</v>
      </c>
      <c r="C4" s="5">
        <v>45119</v>
      </c>
      <c r="D4" s="18">
        <v>0.99324592130854139</v>
      </c>
      <c r="E4" s="18">
        <v>0.99104474380986662</v>
      </c>
      <c r="F4" s="18">
        <v>1.3979999999904E-2</v>
      </c>
      <c r="G4" s="18">
        <v>0.50277777777777777</v>
      </c>
      <c r="H4" s="18">
        <v>1.3979895333143324</v>
      </c>
      <c r="I4" s="18">
        <v>1</v>
      </c>
      <c r="J4" s="18">
        <v>0.99324592130854139</v>
      </c>
      <c r="K4" s="18">
        <f t="shared" ref="K4:K35" si="1">K3+(F4*G4*D4)</f>
        <v>8.9727855224110108E-3</v>
      </c>
      <c r="L4" s="18">
        <f>L5*(1+H5/100*G5)</f>
        <v>0.9910448000025196</v>
      </c>
      <c r="M4" s="18"/>
      <c r="N4" s="18">
        <f t="shared" si="0"/>
        <v>0.9910448000025196</v>
      </c>
    </row>
    <row r="5" spans="1:14">
      <c r="A5" s="13">
        <v>2</v>
      </c>
      <c r="B5">
        <v>1.5</v>
      </c>
      <c r="C5" s="5">
        <v>45303</v>
      </c>
      <c r="D5" s="18">
        <v>0.9860284425870447</v>
      </c>
      <c r="E5" s="18">
        <v>0.98259746260138792</v>
      </c>
      <c r="F5" s="18">
        <v>1.6819999999980999E-2</v>
      </c>
      <c r="G5" s="18">
        <v>0.51111111111111107</v>
      </c>
      <c r="H5" s="18">
        <v>1.6819846216287377</v>
      </c>
      <c r="I5" s="18"/>
      <c r="J5" s="18"/>
      <c r="K5" s="18">
        <f t="shared" si="1"/>
        <v>1.7449562484606416E-2</v>
      </c>
      <c r="L5" s="18">
        <f>(L6*(H6/100*J6-K5+D6)/D6)</f>
        <v>0.9825975948894905</v>
      </c>
      <c r="M5" s="18"/>
      <c r="N5" s="18">
        <f t="shared" si="0"/>
        <v>0.9825975948894905</v>
      </c>
    </row>
    <row r="6" spans="1:14">
      <c r="A6" s="13">
        <v>3</v>
      </c>
      <c r="B6">
        <v>2</v>
      </c>
      <c r="C6" s="5">
        <v>45485</v>
      </c>
      <c r="D6" s="18">
        <v>0.97878176388692029</v>
      </c>
      <c r="E6" s="18">
        <v>0.97444692296927427</v>
      </c>
      <c r="F6" s="18">
        <v>1.6544714899334002E-2</v>
      </c>
      <c r="G6" s="18">
        <v>0.50555555555555554</v>
      </c>
      <c r="H6" s="18">
        <v>1.2999637792868084</v>
      </c>
      <c r="I6" s="18">
        <v>1</v>
      </c>
      <c r="J6" s="18">
        <v>1.9720276851954619</v>
      </c>
      <c r="K6" s="18">
        <f t="shared" si="1"/>
        <v>2.5636359907540013E-2</v>
      </c>
      <c r="L6" s="18">
        <f>L7*(1+F7*G7)</f>
        <v>0.97444775938107875</v>
      </c>
      <c r="M6" s="18"/>
      <c r="N6" s="18">
        <f>L6</f>
        <v>0.97444775938107875</v>
      </c>
    </row>
    <row r="7" spans="1:14">
      <c r="A7" s="13">
        <v>4</v>
      </c>
      <c r="B7">
        <v>2.5</v>
      </c>
      <c r="C7" s="5">
        <v>45670</v>
      </c>
      <c r="D7" s="18">
        <v>0.9715063307647499</v>
      </c>
      <c r="E7" s="18">
        <v>0.96605078949251333</v>
      </c>
      <c r="F7" s="18">
        <v>1.69125910132602E-2</v>
      </c>
      <c r="G7" s="18">
        <v>0.51388888888888884</v>
      </c>
      <c r="H7" s="18">
        <v>0</v>
      </c>
      <c r="I7" s="18"/>
      <c r="J7" s="18"/>
      <c r="K7" s="18">
        <f t="shared" si="1"/>
        <v>3.4079908544257236E-2</v>
      </c>
      <c r="L7" s="18">
        <f>(L8*(H8/100*J8-K7+D8)/D8)</f>
        <v>0.9660516186975372</v>
      </c>
      <c r="M7" s="18"/>
      <c r="N7" s="18"/>
    </row>
    <row r="8" spans="1:14">
      <c r="A8" s="13">
        <v>5</v>
      </c>
      <c r="B8">
        <v>3</v>
      </c>
      <c r="C8" s="5">
        <v>45852</v>
      </c>
      <c r="D8" s="18">
        <v>0.96404622206233692</v>
      </c>
      <c r="E8" s="18">
        <v>0.95729638500968794</v>
      </c>
      <c r="F8" s="18">
        <v>1.8088864371244101E-2</v>
      </c>
      <c r="G8" s="18">
        <v>0.50555555555555554</v>
      </c>
      <c r="H8" s="18">
        <v>1.4609307797757398</v>
      </c>
      <c r="I8" s="18">
        <v>1.005555555555556</v>
      </c>
      <c r="J8" s="18">
        <v>2.9414297196025889</v>
      </c>
      <c r="K8" s="18">
        <f t="shared" si="1"/>
        <v>4.2896039786607928E-2</v>
      </c>
      <c r="L8" s="18">
        <f>L9*(1+F9*G9)</f>
        <v>0.95722221956887421</v>
      </c>
      <c r="M8" s="18"/>
      <c r="N8" s="18">
        <f t="shared" ref="N8" si="2">L8</f>
        <v>0.95722221956887421</v>
      </c>
    </row>
    <row r="9" spans="1:14">
      <c r="A9" s="13">
        <v>6</v>
      </c>
      <c r="B9">
        <v>3.5</v>
      </c>
      <c r="C9" s="5">
        <v>46034</v>
      </c>
      <c r="D9" s="18">
        <v>0.95592389246503651</v>
      </c>
      <c r="E9" s="18">
        <v>0.94796491452005915</v>
      </c>
      <c r="F9" s="18">
        <v>1.9479741902559099E-2</v>
      </c>
      <c r="G9" s="18">
        <v>0.50555555555555554</v>
      </c>
      <c r="H9" s="18">
        <v>0</v>
      </c>
      <c r="I9" s="18"/>
      <c r="J9" s="18"/>
      <c r="K9" s="18">
        <f t="shared" si="1"/>
        <v>5.2310065975705033E-2</v>
      </c>
      <c r="L9" s="18">
        <f>(L10*(H10/100*J10-K9+D10)/D10)</f>
        <v>0.9478873381043913</v>
      </c>
      <c r="M9" s="18"/>
      <c r="N9" s="18"/>
    </row>
    <row r="10" spans="1:14">
      <c r="A10" s="13">
        <v>7</v>
      </c>
      <c r="B10">
        <v>4</v>
      </c>
      <c r="C10" s="5">
        <v>46216</v>
      </c>
      <c r="D10" s="18">
        <v>0.94713494159022615</v>
      </c>
      <c r="E10" s="18">
        <v>0.93807952562658103</v>
      </c>
      <c r="F10" s="18">
        <v>2.0844199194661701E-2</v>
      </c>
      <c r="G10" s="18">
        <v>0.50555555555555554</v>
      </c>
      <c r="H10" s="18">
        <v>1.6038879577445122</v>
      </c>
      <c r="I10" s="18">
        <v>0.99722222222222223</v>
      </c>
      <c r="J10" s="18">
        <v>3.885933730799509</v>
      </c>
      <c r="K10" s="18">
        <f t="shared" si="1"/>
        <v>6.2290879943441235E-2</v>
      </c>
      <c r="L10" s="18">
        <f>L11*(1+F11*G11)</f>
        <v>0.93796831802017255</v>
      </c>
      <c r="M10" s="18"/>
      <c r="N10" s="18">
        <f t="shared" ref="N10" si="3">L10</f>
        <v>0.93796831802017255</v>
      </c>
    </row>
    <row r="11" spans="1:14">
      <c r="A11" s="13">
        <v>8</v>
      </c>
      <c r="B11">
        <v>4.5</v>
      </c>
      <c r="C11" s="5">
        <v>46399</v>
      </c>
      <c r="D11" s="18">
        <v>0.9377546742182391</v>
      </c>
      <c r="E11" s="18">
        <v>0.92766793341618325</v>
      </c>
      <c r="F11" s="18">
        <v>2.2082122249332401E-2</v>
      </c>
      <c r="G11" s="18">
        <v>0.5083333333333333</v>
      </c>
      <c r="H11" s="18">
        <v>0</v>
      </c>
      <c r="I11" s="18"/>
      <c r="J11" s="18"/>
      <c r="K11" s="18">
        <f t="shared" si="1"/>
        <v>7.2817250066059339E-2</v>
      </c>
      <c r="L11" s="18">
        <f>(L12*(H12/100*J12-K11+D12)/D12)</f>
        <v>0.92755642405931316</v>
      </c>
      <c r="M11" s="18"/>
      <c r="N11" s="18"/>
    </row>
    <row r="12" spans="1:14">
      <c r="A12" s="13">
        <v>9</v>
      </c>
      <c r="B12">
        <v>5</v>
      </c>
      <c r="C12" s="5">
        <v>46580</v>
      </c>
      <c r="D12" s="18">
        <v>0.92824283734542401</v>
      </c>
      <c r="E12" s="18">
        <v>0.91712844122432902</v>
      </c>
      <c r="F12" s="18">
        <v>2.2856695926326401E-2</v>
      </c>
      <c r="G12" s="18">
        <v>0.50277777777777777</v>
      </c>
      <c r="H12" s="18">
        <v>1.7348345276642141</v>
      </c>
      <c r="I12" s="18">
        <v>0.99722222222222223</v>
      </c>
      <c r="J12" s="18">
        <v>4.811598115818974</v>
      </c>
      <c r="K12" s="18">
        <f t="shared" si="1"/>
        <v>8.3484467106331728E-2</v>
      </c>
      <c r="L12" s="18">
        <f>L13*(1+F13*G13)</f>
        <v>0.91702913936667141</v>
      </c>
      <c r="M12" s="18"/>
      <c r="N12" s="18">
        <f t="shared" ref="N12" si="4">L12</f>
        <v>0.91702913936667141</v>
      </c>
    </row>
    <row r="13" spans="1:14">
      <c r="A13" s="13">
        <v>10</v>
      </c>
      <c r="B13">
        <v>5.5</v>
      </c>
      <c r="C13" s="5">
        <v>46764</v>
      </c>
      <c r="D13" s="18">
        <v>0.9185963965955859</v>
      </c>
      <c r="E13" s="18">
        <v>0.90637502877283138</v>
      </c>
      <c r="F13" s="18">
        <v>2.3212560544255901E-2</v>
      </c>
      <c r="G13" s="18">
        <v>0.51111111111111107</v>
      </c>
      <c r="H13" s="18">
        <v>0</v>
      </c>
      <c r="I13" s="18"/>
      <c r="J13" s="18"/>
      <c r="K13" s="18">
        <f t="shared" si="1"/>
        <v>9.438287628076146E-2</v>
      </c>
      <c r="L13" s="18">
        <f>(L14*(H14/100*J14-K13+D14)/D14)</f>
        <v>0.90627689123827682</v>
      </c>
      <c r="M13" s="18"/>
      <c r="N13" s="18"/>
    </row>
    <row r="14" spans="1:14">
      <c r="A14" s="13">
        <v>11</v>
      </c>
      <c r="B14">
        <v>6</v>
      </c>
      <c r="C14" s="5">
        <v>46946</v>
      </c>
      <c r="D14" s="18">
        <v>0.90901718303320767</v>
      </c>
      <c r="E14" s="18">
        <v>0.89571111788568369</v>
      </c>
      <c r="F14" s="18">
        <v>2.3549389624901301E-2</v>
      </c>
      <c r="G14" s="18">
        <v>0.50555555555555554</v>
      </c>
      <c r="H14" s="18">
        <v>1.8387743920336435</v>
      </c>
      <c r="I14" s="18">
        <v>1</v>
      </c>
      <c r="J14" s="18">
        <v>5.7206152988521817</v>
      </c>
      <c r="K14" s="18">
        <f t="shared" si="1"/>
        <v>0.10520520285591206</v>
      </c>
      <c r="L14" s="18">
        <f>L15*(1+F15*G15)</f>
        <v>0.89562970771033845</v>
      </c>
      <c r="M14" s="18"/>
      <c r="N14" s="18">
        <f t="shared" ref="N14" si="5">L14</f>
        <v>0.89562970771033845</v>
      </c>
    </row>
    <row r="15" spans="1:14">
      <c r="A15" s="13">
        <v>12</v>
      </c>
      <c r="B15">
        <v>6.5</v>
      </c>
      <c r="C15" s="5">
        <v>47130</v>
      </c>
      <c r="D15" s="18">
        <v>0.89917826917514665</v>
      </c>
      <c r="E15" s="18">
        <v>0.88485868785708344</v>
      </c>
      <c r="F15" s="18">
        <v>2.39959391987998E-2</v>
      </c>
      <c r="G15" s="18">
        <v>0.51111111111111107</v>
      </c>
      <c r="H15" s="18">
        <v>0</v>
      </c>
      <c r="I15" s="18"/>
      <c r="J15" s="18"/>
      <c r="K15" s="18">
        <f t="shared" si="1"/>
        <v>0.11623325669476103</v>
      </c>
      <c r="L15" s="18">
        <f>(L16*(H16/100*J16-K15+D16)/D16)</f>
        <v>0.88477826404688864</v>
      </c>
      <c r="M15" s="18"/>
      <c r="N15" s="18"/>
    </row>
    <row r="16" spans="1:14">
      <c r="A16" s="13">
        <v>13</v>
      </c>
      <c r="B16">
        <v>7</v>
      </c>
      <c r="C16" s="5">
        <v>47311</v>
      </c>
      <c r="D16" s="18">
        <v>0.8893123052047649</v>
      </c>
      <c r="E16" s="18">
        <v>0.8740370041426615</v>
      </c>
      <c r="F16" s="18">
        <v>2.4625720319847801E-2</v>
      </c>
      <c r="G16" s="18">
        <v>0.50277777777777777</v>
      </c>
      <c r="H16" s="18">
        <v>1.9247081773303198</v>
      </c>
      <c r="I16" s="18">
        <v>1</v>
      </c>
      <c r="J16" s="18">
        <v>6.6099276040569466</v>
      </c>
      <c r="K16" s="18">
        <f t="shared" si="1"/>
        <v>0.12724406795864956</v>
      </c>
      <c r="L16" s="18">
        <f>L17*(1+F17*G17)</f>
        <v>0.87397916367874784</v>
      </c>
      <c r="M16" s="18"/>
      <c r="N16" s="18">
        <f t="shared" ref="N16" si="6">L16</f>
        <v>0.87397916367874784</v>
      </c>
    </row>
    <row r="17" spans="1:14">
      <c r="A17" s="13">
        <v>14</v>
      </c>
      <c r="B17">
        <v>7.5</v>
      </c>
      <c r="C17" s="5">
        <v>47497</v>
      </c>
      <c r="D17" s="18">
        <v>0.87897161571716564</v>
      </c>
      <c r="E17" s="18">
        <v>0.86271292715050496</v>
      </c>
      <c r="F17" s="18">
        <v>2.5405401590895899E-2</v>
      </c>
      <c r="G17" s="18">
        <v>0.51666666666666672</v>
      </c>
      <c r="H17" s="18">
        <v>0</v>
      </c>
      <c r="I17" s="18"/>
      <c r="J17" s="18"/>
      <c r="K17" s="18">
        <f t="shared" si="1"/>
        <v>0.13878155851553439</v>
      </c>
      <c r="L17" s="18">
        <f>(L18*(H18/100*J18-K17+D18)/D18)</f>
        <v>0.86265583607118657</v>
      </c>
      <c r="M17" s="18"/>
      <c r="N17" s="18"/>
    </row>
    <row r="18" spans="1:14">
      <c r="A18" s="13">
        <v>15</v>
      </c>
      <c r="B18">
        <v>8</v>
      </c>
      <c r="C18" s="5">
        <v>47676</v>
      </c>
      <c r="D18" s="18">
        <v>0.86884980767765363</v>
      </c>
      <c r="E18" s="18">
        <v>0.85168947472002765</v>
      </c>
      <c r="F18" s="18">
        <v>2.6037552195365E-2</v>
      </c>
      <c r="G18" s="18">
        <v>0.49722222222222218</v>
      </c>
      <c r="H18" s="18">
        <v>2.0056332073205749</v>
      </c>
      <c r="I18" s="18">
        <v>1</v>
      </c>
      <c r="J18" s="18">
        <v>7.4787774117346002</v>
      </c>
      <c r="K18" s="18">
        <f t="shared" si="1"/>
        <v>0.15003007872915611</v>
      </c>
      <c r="L18" s="18">
        <f>L19*(1+F19*G19)</f>
        <v>0.85166240964059925</v>
      </c>
      <c r="M18" s="18"/>
      <c r="N18" s="18">
        <f t="shared" ref="N18" si="7">L18</f>
        <v>0.85166240964059925</v>
      </c>
    </row>
    <row r="19" spans="1:14">
      <c r="A19" s="13">
        <v>16</v>
      </c>
      <c r="B19">
        <v>8.5</v>
      </c>
      <c r="C19" s="5">
        <v>47861</v>
      </c>
      <c r="D19" s="18">
        <v>0.85822803261302394</v>
      </c>
      <c r="E19" s="18">
        <v>0.84022535250532049</v>
      </c>
      <c r="F19" s="18">
        <v>2.6550689146691599E-2</v>
      </c>
      <c r="G19" s="18">
        <v>0.51388888888888884</v>
      </c>
      <c r="H19" s="18">
        <v>0</v>
      </c>
      <c r="I19" s="18"/>
      <c r="J19" s="18"/>
      <c r="K19" s="18">
        <f t="shared" si="1"/>
        <v>0.16173983138613873</v>
      </c>
      <c r="L19" s="18">
        <f>(L20*(H20/100*J20-K19+D20)/D20)</f>
        <v>0.84019865173399688</v>
      </c>
      <c r="M19" s="18"/>
      <c r="N19" s="18"/>
    </row>
    <row r="20" spans="1:14">
      <c r="A20" s="13">
        <v>17</v>
      </c>
      <c r="B20">
        <v>9</v>
      </c>
      <c r="C20" s="5">
        <v>48043</v>
      </c>
      <c r="D20" s="18">
        <v>0.84757139217307043</v>
      </c>
      <c r="E20" s="18">
        <v>0.82878111312407454</v>
      </c>
      <c r="F20" s="18">
        <v>2.73135531920118E-2</v>
      </c>
      <c r="G20" s="18">
        <v>0.50555555555555554</v>
      </c>
      <c r="H20" s="18">
        <v>2.0825488150758398</v>
      </c>
      <c r="I20" s="18">
        <v>1.005555555555556</v>
      </c>
      <c r="J20" s="18">
        <v>8.3310575338641879</v>
      </c>
      <c r="K20" s="18">
        <f t="shared" si="1"/>
        <v>0.1734435366843462</v>
      </c>
      <c r="L20" s="18">
        <f>L21*(1+F21*G21)</f>
        <v>0.8287019226695902</v>
      </c>
      <c r="M20" s="18"/>
      <c r="N20" s="18">
        <f t="shared" ref="N20" si="8">L20</f>
        <v>0.8287019226695902</v>
      </c>
    </row>
    <row r="21" spans="1:14">
      <c r="A21" s="13">
        <v>18</v>
      </c>
      <c r="B21">
        <v>9.5</v>
      </c>
      <c r="C21" s="5">
        <v>48225</v>
      </c>
      <c r="D21" s="18">
        <v>0.83669069416023167</v>
      </c>
      <c r="E21" s="18">
        <v>0.81711882271219038</v>
      </c>
      <c r="F21" s="18">
        <v>2.8236771671545199E-2</v>
      </c>
      <c r="G21" s="18">
        <v>0.50555555555555554</v>
      </c>
      <c r="H21" s="18">
        <v>0</v>
      </c>
      <c r="I21" s="18"/>
      <c r="J21" s="18"/>
      <c r="K21" s="18">
        <f t="shared" si="1"/>
        <v>0.18538751119687136</v>
      </c>
      <c r="L21" s="18">
        <f>(L22*(H22/100*J22-K21+D22)/D22)</f>
        <v>0.81703848844019855</v>
      </c>
      <c r="M21" s="18"/>
      <c r="N21" s="18"/>
    </row>
    <row r="22" spans="1:14">
      <c r="A22" s="13">
        <v>19</v>
      </c>
      <c r="B22">
        <v>10</v>
      </c>
      <c r="C22" s="5">
        <v>48407</v>
      </c>
      <c r="D22" s="18">
        <v>0.8257303052243582</v>
      </c>
      <c r="E22" s="18">
        <v>0.80547248666946025</v>
      </c>
      <c r="F22" s="18">
        <v>2.8600242760871801E-2</v>
      </c>
      <c r="G22" s="18">
        <v>0.50555555555555554</v>
      </c>
      <c r="H22" s="18">
        <v>2.1554552392830577</v>
      </c>
      <c r="I22" s="18">
        <v>0.99444444444444446</v>
      </c>
      <c r="J22" s="18">
        <v>9.152200448503967</v>
      </c>
      <c r="K22" s="18">
        <f t="shared" si="1"/>
        <v>0.19732675527344198</v>
      </c>
      <c r="L22" s="18">
        <f>L23*(1+F23*G23)</f>
        <v>0.80544634628471234</v>
      </c>
      <c r="M22" s="18"/>
      <c r="N22" s="18">
        <f t="shared" ref="N22" si="9">L22</f>
        <v>0.80544634628471234</v>
      </c>
    </row>
    <row r="23" spans="1:14">
      <c r="A23" s="13">
        <v>20</v>
      </c>
      <c r="B23">
        <v>10.5</v>
      </c>
      <c r="C23" s="5">
        <v>48591</v>
      </c>
      <c r="D23" s="18">
        <v>0.8146912703004634</v>
      </c>
      <c r="E23" s="18">
        <v>0.79392771566848708</v>
      </c>
      <c r="F23" s="18">
        <v>2.8450443271989499E-2</v>
      </c>
      <c r="G23" s="18">
        <v>0.51111111111111107</v>
      </c>
      <c r="H23" s="18">
        <v>0</v>
      </c>
      <c r="I23" s="18"/>
      <c r="J23" s="18"/>
      <c r="K23" s="18">
        <f t="shared" si="1"/>
        <v>0.20917345613359695</v>
      </c>
      <c r="L23" s="18">
        <f>(L24*(H24/100*J24-K23+D24)/D24)</f>
        <v>0.79390194995172703</v>
      </c>
      <c r="M23" s="18"/>
      <c r="N23" s="18"/>
    </row>
    <row r="24" spans="1:14">
      <c r="A24" s="13">
        <v>21</v>
      </c>
      <c r="B24">
        <v>11</v>
      </c>
      <c r="C24" s="5">
        <v>48772</v>
      </c>
      <c r="D24" s="18">
        <v>0.8037668893231964</v>
      </c>
      <c r="E24" s="18">
        <v>0.78267545028228147</v>
      </c>
      <c r="F24" s="18">
        <v>2.8594478516200401E-2</v>
      </c>
      <c r="G24" s="18">
        <v>0.50277777777777777</v>
      </c>
      <c r="H24" s="18">
        <v>2.2163562186206587</v>
      </c>
      <c r="I24" s="18">
        <v>1</v>
      </c>
      <c r="J24" s="18">
        <v>9.9559673378271629</v>
      </c>
      <c r="K24" s="18">
        <f t="shared" si="1"/>
        <v>0.22072894614423624</v>
      </c>
      <c r="L24" s="18">
        <f>L25*(1+F25*G25)</f>
        <v>0.78271652547002302</v>
      </c>
      <c r="M24" s="18"/>
      <c r="N24" s="18">
        <f t="shared" ref="N24" si="10">L24</f>
        <v>0.78271652547002302</v>
      </c>
    </row>
    <row r="25" spans="1:14">
      <c r="A25" s="13">
        <v>22</v>
      </c>
      <c r="B25">
        <v>11.5</v>
      </c>
      <c r="C25" s="5">
        <v>48956</v>
      </c>
      <c r="D25" s="18">
        <v>0.79251290448087985</v>
      </c>
      <c r="E25" s="18">
        <v>0.77121663179798594</v>
      </c>
      <c r="F25" s="18">
        <v>2.90702074422408E-2</v>
      </c>
      <c r="G25" s="18">
        <v>0.51111111111111107</v>
      </c>
      <c r="H25" s="18">
        <v>0</v>
      </c>
      <c r="I25" s="18"/>
      <c r="J25" s="18"/>
      <c r="K25" s="18">
        <f t="shared" si="1"/>
        <v>0.23250418690601346</v>
      </c>
      <c r="L25" s="18">
        <f>(L26*(H26/100*J26-K25+D26)/D26)</f>
        <v>0.77125710562136851</v>
      </c>
      <c r="M25" s="18"/>
      <c r="N25" s="18"/>
    </row>
    <row r="26" spans="1:14">
      <c r="A26" s="13">
        <v>23</v>
      </c>
      <c r="B26">
        <v>12</v>
      </c>
      <c r="C26" s="5">
        <v>49137</v>
      </c>
      <c r="D26" s="18">
        <v>0.78150798192835358</v>
      </c>
      <c r="E26" s="18">
        <v>0.76007457235941267</v>
      </c>
      <c r="F26" s="18">
        <v>2.9156352552981098E-2</v>
      </c>
      <c r="G26" s="18">
        <v>0.50277777777777777</v>
      </c>
      <c r="H26" s="18">
        <v>2.271250252483362</v>
      </c>
      <c r="I26" s="18">
        <v>1</v>
      </c>
      <c r="J26" s="18">
        <v>10.73747531975552</v>
      </c>
      <c r="K26" s="18">
        <f t="shared" si="1"/>
        <v>0.24396044225650515</v>
      </c>
      <c r="L26" s="18">
        <f>L27*(1+F27*G27)</f>
        <v>0.76019643496956668</v>
      </c>
      <c r="M26" s="18"/>
      <c r="N26" s="18">
        <f t="shared" ref="N26" si="11">L26</f>
        <v>0.76019643496956668</v>
      </c>
    </row>
    <row r="27" spans="1:14">
      <c r="A27" s="13">
        <v>24</v>
      </c>
      <c r="B27">
        <v>12.5</v>
      </c>
      <c r="C27" s="5">
        <v>49321</v>
      </c>
      <c r="D27" s="18">
        <v>0.77061478256932514</v>
      </c>
      <c r="E27" s="18">
        <v>0.74906175653772222</v>
      </c>
      <c r="F27" s="18">
        <v>2.8765069603566101E-2</v>
      </c>
      <c r="G27" s="18">
        <v>0.51111111111111107</v>
      </c>
      <c r="H27" s="18">
        <v>0</v>
      </c>
      <c r="I27" s="18"/>
      <c r="J27" s="18"/>
      <c r="K27" s="18">
        <f t="shared" si="1"/>
        <v>0.25529013382844523</v>
      </c>
      <c r="L27" s="18">
        <f>(L28*(H28/100*J28-K27+D28)/D28)</f>
        <v>0.74918185346523136</v>
      </c>
      <c r="M27" s="18"/>
      <c r="N27" s="18"/>
    </row>
    <row r="28" spans="1:14">
      <c r="A28" s="13">
        <v>25</v>
      </c>
      <c r="B28">
        <v>13</v>
      </c>
      <c r="C28" s="5">
        <v>49502</v>
      </c>
      <c r="D28" s="18">
        <v>0.76021383187024028</v>
      </c>
      <c r="E28" s="18">
        <v>0.73859675986976769</v>
      </c>
      <c r="F28" s="18">
        <v>2.81809495309472E-2</v>
      </c>
      <c r="G28" s="18">
        <v>0.50277777777777777</v>
      </c>
      <c r="H28" s="18">
        <v>2.3131434798228221</v>
      </c>
      <c r="I28" s="18">
        <v>1</v>
      </c>
      <c r="J28" s="18">
        <v>11.49768915162576</v>
      </c>
      <c r="K28" s="18">
        <f t="shared" si="1"/>
        <v>0.26606141749730089</v>
      </c>
      <c r="L28" s="18">
        <f>L29*(1+F29*G29)</f>
        <v>0.73881423616156539</v>
      </c>
      <c r="M28" s="18"/>
      <c r="N28" s="18">
        <f t="shared" ref="N28" si="12">L28</f>
        <v>0.73881423616156539</v>
      </c>
    </row>
    <row r="29" spans="1:14">
      <c r="A29" s="13">
        <v>26</v>
      </c>
      <c r="B29">
        <v>13.5</v>
      </c>
      <c r="C29" s="5">
        <v>49688</v>
      </c>
      <c r="D29" s="18">
        <v>0.7498602714689413</v>
      </c>
      <c r="E29" s="18">
        <v>0.72826345785213376</v>
      </c>
      <c r="F29" s="18">
        <v>2.7462505736529301E-2</v>
      </c>
      <c r="G29" s="18">
        <v>0.51666666666666672</v>
      </c>
      <c r="H29" s="18">
        <v>0</v>
      </c>
      <c r="I29" s="18"/>
      <c r="J29" s="18"/>
      <c r="K29" s="18">
        <f t="shared" si="1"/>
        <v>0.27670115586748667</v>
      </c>
      <c r="L29" s="18">
        <f>(L30*(H30/100*J30-K29+D30)/D30)</f>
        <v>0.72847789155245679</v>
      </c>
      <c r="M29" s="18"/>
      <c r="N29" s="18"/>
    </row>
    <row r="30" spans="1:14">
      <c r="A30" s="13">
        <v>27</v>
      </c>
      <c r="B30">
        <v>14</v>
      </c>
      <c r="C30" s="5">
        <v>49870</v>
      </c>
      <c r="D30" s="18">
        <v>0.74018567472833596</v>
      </c>
      <c r="E30" s="18">
        <v>0.71863740591193315</v>
      </c>
      <c r="F30" s="18">
        <v>2.6495339851027901E-2</v>
      </c>
      <c r="G30" s="18">
        <v>0.50555555555555554</v>
      </c>
      <c r="H30" s="18">
        <v>2.3410399518203504</v>
      </c>
      <c r="I30" s="18">
        <v>1.005555555555556</v>
      </c>
      <c r="J30" s="18">
        <v>12.241986968991471</v>
      </c>
      <c r="K30" s="18">
        <f t="shared" si="1"/>
        <v>0.28661584398657475</v>
      </c>
      <c r="L30" s="18">
        <f>L31*(1+F31*G31)</f>
        <v>0.71887395945456012</v>
      </c>
      <c r="M30" s="18"/>
      <c r="N30" s="18">
        <f t="shared" ref="N30" si="13">L30</f>
        <v>0.71887395945456012</v>
      </c>
    </row>
    <row r="31" spans="1:14">
      <c r="A31" s="13">
        <v>28</v>
      </c>
      <c r="B31">
        <v>14.5</v>
      </c>
      <c r="C31" s="5">
        <v>50052</v>
      </c>
      <c r="D31" s="18">
        <v>0.73104788279616695</v>
      </c>
      <c r="E31" s="18">
        <v>0.7095309602972194</v>
      </c>
      <c r="F31" s="18">
        <v>2.5383289016291E-2</v>
      </c>
      <c r="G31" s="18">
        <v>0.50555555555555554</v>
      </c>
      <c r="H31" s="18">
        <v>0</v>
      </c>
      <c r="I31" s="18"/>
      <c r="J31" s="18"/>
      <c r="K31" s="18">
        <f t="shared" si="1"/>
        <v>0.29599713494286589</v>
      </c>
      <c r="L31" s="18">
        <f>(L32*(H32/100*J32-K31+D32)/D32)</f>
        <v>0.70976577461580481</v>
      </c>
      <c r="M31" s="18"/>
      <c r="N31" s="18"/>
    </row>
    <row r="32" spans="1:14">
      <c r="A32" s="13">
        <v>29</v>
      </c>
      <c r="B32">
        <v>15</v>
      </c>
      <c r="C32" s="5">
        <v>50234</v>
      </c>
      <c r="D32" s="18">
        <v>0.72227737271592507</v>
      </c>
      <c r="E32" s="18">
        <v>0.700838160456415</v>
      </c>
      <c r="F32" s="18">
        <v>2.4534264978464001E-2</v>
      </c>
      <c r="G32" s="18">
        <v>0.50555555555555554</v>
      </c>
      <c r="H32" s="18">
        <v>2.3519473712993837</v>
      </c>
      <c r="I32" s="18">
        <v>0.99722222222222223</v>
      </c>
      <c r="J32" s="18">
        <v>12.962258015672081</v>
      </c>
      <c r="K32" s="18">
        <f t="shared" si="1"/>
        <v>0.30495585463711411</v>
      </c>
      <c r="L32" s="18">
        <f>L33*(1+F33*G33)</f>
        <v>0.70115674864986777</v>
      </c>
      <c r="M32" s="18"/>
      <c r="N32" s="18">
        <f t="shared" ref="N32" si="14">L32</f>
        <v>0.70115674864986777</v>
      </c>
    </row>
    <row r="33" spans="1:14">
      <c r="A33" s="13">
        <v>30</v>
      </c>
      <c r="B33">
        <v>15.5</v>
      </c>
      <c r="C33" s="5">
        <v>50417</v>
      </c>
      <c r="D33" s="18">
        <v>0.71366212197997081</v>
      </c>
      <c r="E33" s="18">
        <v>0.69241736243795082</v>
      </c>
      <c r="F33" s="18">
        <v>2.3922987110430501E-2</v>
      </c>
      <c r="G33" s="18">
        <v>0.5083333333333333</v>
      </c>
      <c r="H33" s="18">
        <v>0</v>
      </c>
      <c r="I33" s="18"/>
      <c r="J33" s="18"/>
      <c r="K33" s="18">
        <f t="shared" si="1"/>
        <v>0.31363459392432319</v>
      </c>
      <c r="L33" s="18">
        <f>(L34*(H34/100*J34-K33+D34)/D34)</f>
        <v>0.6927325310162088</v>
      </c>
      <c r="M33" s="18"/>
      <c r="N33" s="18"/>
    </row>
    <row r="34" spans="1:14">
      <c r="A34" s="13">
        <v>31</v>
      </c>
      <c r="B34">
        <v>16</v>
      </c>
      <c r="C34" s="5">
        <v>50598</v>
      </c>
      <c r="D34" s="18">
        <v>0.70541109112485312</v>
      </c>
      <c r="E34" s="18">
        <v>0.68446812486706743</v>
      </c>
      <c r="F34" s="18">
        <v>2.3099159315272899E-2</v>
      </c>
      <c r="G34" s="18">
        <v>0.50277777777777777</v>
      </c>
      <c r="H34" s="18">
        <v>2.3538608308805267</v>
      </c>
      <c r="I34" s="18">
        <v>0.99722222222222223</v>
      </c>
      <c r="J34" s="18">
        <v>13.6657096315438</v>
      </c>
      <c r="K34" s="18">
        <f t="shared" si="1"/>
        <v>0.32182705774369619</v>
      </c>
      <c r="L34" s="18">
        <f>L35*(1+F35*G35)</f>
        <v>0.68492870734616917</v>
      </c>
      <c r="M34" s="18"/>
      <c r="N34" s="18">
        <f t="shared" ref="N34" si="15">L34</f>
        <v>0.68492870734616917</v>
      </c>
    </row>
    <row r="35" spans="1:14">
      <c r="A35" s="13">
        <v>32</v>
      </c>
      <c r="B35">
        <v>16.5</v>
      </c>
      <c r="C35" s="5">
        <v>50782</v>
      </c>
      <c r="D35" s="18">
        <v>0.69740868440821069</v>
      </c>
      <c r="E35" s="18">
        <v>0.67685350673892697</v>
      </c>
      <c r="F35" s="18">
        <v>2.2010916327615201E-2</v>
      </c>
      <c r="G35" s="18">
        <v>0.51111111111111107</v>
      </c>
      <c r="H35" s="18">
        <v>0</v>
      </c>
      <c r="I35" s="18"/>
      <c r="J35" s="18"/>
      <c r="K35" s="18">
        <f t="shared" si="1"/>
        <v>0.32967292211190086</v>
      </c>
      <c r="L35" s="18">
        <f>(L36*(H36/100*J36-K35+D36)/D36)</f>
        <v>0.67730896529834939</v>
      </c>
      <c r="M35" s="18"/>
      <c r="N35" s="18"/>
    </row>
    <row r="36" spans="1:14">
      <c r="A36" s="13">
        <v>33</v>
      </c>
      <c r="B36">
        <v>17</v>
      </c>
      <c r="C36" s="5">
        <v>50963</v>
      </c>
      <c r="D36" s="18">
        <v>0.68996315335641056</v>
      </c>
      <c r="E36" s="18">
        <v>0.66981104102760358</v>
      </c>
      <c r="F36" s="18">
        <v>2.0912038267508801E-2</v>
      </c>
      <c r="G36" s="18">
        <v>0.50277777777777777</v>
      </c>
      <c r="H36" s="18">
        <v>2.3457835106823288</v>
      </c>
      <c r="I36" s="18">
        <v>1</v>
      </c>
      <c r="J36" s="18">
        <v>14.355672784900211</v>
      </c>
      <c r="K36" s="18">
        <f t="shared" ref="K36:K67" si="16">K35+(F36*G36*D36)</f>
        <v>0.33692726931127592</v>
      </c>
      <c r="L36" s="18">
        <f>L37*(1+F37*G37)</f>
        <v>0.6704293294454351</v>
      </c>
      <c r="M36" s="18"/>
      <c r="N36" s="18">
        <f t="shared" ref="N36" si="17">L36</f>
        <v>0.6704293294454351</v>
      </c>
    </row>
    <row r="37" spans="1:14">
      <c r="A37" s="13">
        <v>34</v>
      </c>
      <c r="B37">
        <v>17.5</v>
      </c>
      <c r="C37" s="5">
        <v>51147</v>
      </c>
      <c r="D37" s="18">
        <v>0.68282994441576605</v>
      </c>
      <c r="E37" s="18">
        <v>0.66306691465186141</v>
      </c>
      <c r="F37" s="18">
        <v>1.9899997381878601E-2</v>
      </c>
      <c r="G37" s="18">
        <v>0.51111111111111107</v>
      </c>
      <c r="H37" s="18">
        <v>0</v>
      </c>
      <c r="I37" s="18"/>
      <c r="J37" s="18"/>
      <c r="K37" s="18">
        <f t="shared" si="16"/>
        <v>0.34387240763219296</v>
      </c>
      <c r="L37" s="18">
        <f>(L38*(H38/100*J38-K37+D38)/D38)</f>
        <v>0.6636789777091493</v>
      </c>
      <c r="M37" s="18"/>
      <c r="N37" s="18"/>
    </row>
    <row r="38" spans="1:14">
      <c r="A38" s="13">
        <v>35</v>
      </c>
      <c r="B38">
        <v>18</v>
      </c>
      <c r="C38" s="5">
        <v>51329</v>
      </c>
      <c r="D38" s="18">
        <v>0.67609185802575111</v>
      </c>
      <c r="E38" s="18">
        <v>0.65673579124496839</v>
      </c>
      <c r="F38" s="18">
        <v>1.90687052713602E-2</v>
      </c>
      <c r="G38" s="18">
        <v>0.50555555555555554</v>
      </c>
      <c r="H38" s="18">
        <v>2.3297166511595866</v>
      </c>
      <c r="I38" s="18">
        <v>1</v>
      </c>
      <c r="J38" s="18">
        <v>15.031764642925969</v>
      </c>
      <c r="K38" s="18">
        <f t="shared" si="16"/>
        <v>0.35039012913392853</v>
      </c>
      <c r="L38" s="18">
        <f>L39*(1+F39*G39)</f>
        <v>0.6575275383057525</v>
      </c>
      <c r="M38" s="18"/>
      <c r="N38" s="18">
        <f t="shared" ref="N38" si="18">L38</f>
        <v>0.6575275383057525</v>
      </c>
    </row>
    <row r="39" spans="1:14">
      <c r="A39" s="13">
        <v>36</v>
      </c>
      <c r="B39">
        <v>18.5</v>
      </c>
      <c r="C39" s="5">
        <v>51515</v>
      </c>
      <c r="D39" s="18">
        <v>0.66942332733091914</v>
      </c>
      <c r="E39" s="18">
        <v>0.65055591075883357</v>
      </c>
      <c r="F39" s="18">
        <v>1.8385904743329899E-2</v>
      </c>
      <c r="G39" s="18">
        <v>0.51666666666666672</v>
      </c>
      <c r="H39" s="18">
        <v>0</v>
      </c>
      <c r="I39" s="18"/>
      <c r="J39" s="18"/>
      <c r="K39" s="18">
        <f t="shared" si="16"/>
        <v>0.35674923845738432</v>
      </c>
      <c r="L39" s="18">
        <f>(L40*(H40/100*J40-K39+D40)/D40)</f>
        <v>0.65134020748376553</v>
      </c>
      <c r="M39" s="18"/>
      <c r="N39" s="18"/>
    </row>
    <row r="40" spans="1:14">
      <c r="A40" s="13">
        <v>37</v>
      </c>
      <c r="B40">
        <v>19</v>
      </c>
      <c r="C40" s="5">
        <v>51694</v>
      </c>
      <c r="D40" s="18">
        <v>0.66324213984716596</v>
      </c>
      <c r="E40" s="18">
        <v>0.6449111569909729</v>
      </c>
      <c r="F40" s="18">
        <v>1.75973078822565E-2</v>
      </c>
      <c r="G40" s="18">
        <v>0.49722222222222218</v>
      </c>
      <c r="H40" s="18">
        <v>2.3086573991814769</v>
      </c>
      <c r="I40" s="18">
        <v>1</v>
      </c>
      <c r="J40" s="18">
        <v>15.695006782773129</v>
      </c>
      <c r="K40" s="18">
        <f t="shared" si="16"/>
        <v>0.36255245631358574</v>
      </c>
      <c r="L40" s="18">
        <f>L41*(1+F41*G41)</f>
        <v>0.64589186662970111</v>
      </c>
      <c r="M40" s="18"/>
      <c r="N40" s="18">
        <f t="shared" ref="N40" si="19">L40</f>
        <v>0.64589186662970111</v>
      </c>
    </row>
    <row r="41" spans="1:14">
      <c r="A41" s="13">
        <v>38</v>
      </c>
      <c r="B41">
        <v>19.5</v>
      </c>
      <c r="C41" s="5">
        <v>51879</v>
      </c>
      <c r="D41" s="18">
        <v>0.65713526584249904</v>
      </c>
      <c r="E41" s="18">
        <v>0.63940852927721736</v>
      </c>
      <c r="F41" s="18">
        <v>1.6746439250249601E-2</v>
      </c>
      <c r="G41" s="18">
        <v>0.51388888888888884</v>
      </c>
      <c r="H41" s="18">
        <v>0</v>
      </c>
      <c r="I41" s="18"/>
      <c r="J41" s="18"/>
      <c r="K41" s="18">
        <f t="shared" si="16"/>
        <v>0.36820763693746406</v>
      </c>
      <c r="L41" s="18">
        <f>(L42*(H42/100*J42-K41+D42)/D42)</f>
        <v>0.64038087112764064</v>
      </c>
      <c r="M41" s="18"/>
      <c r="N41" s="18"/>
    </row>
    <row r="42" spans="1:14">
      <c r="A42" s="13">
        <v>39</v>
      </c>
      <c r="B42">
        <v>20</v>
      </c>
      <c r="C42" s="5">
        <v>52061</v>
      </c>
      <c r="D42" s="18">
        <v>0.65135462223894658</v>
      </c>
      <c r="E42" s="18">
        <v>0.63424325968494244</v>
      </c>
      <c r="F42" s="18">
        <v>1.6108987553141298E-2</v>
      </c>
      <c r="G42" s="18">
        <v>0.50555555555555554</v>
      </c>
      <c r="H42" s="18">
        <v>2.2836058560117243</v>
      </c>
      <c r="I42" s="18">
        <v>1.005555555555556</v>
      </c>
      <c r="J42" s="18">
        <v>16.34998004180229</v>
      </c>
      <c r="K42" s="18">
        <f t="shared" si="16"/>
        <v>0.37351226126364112</v>
      </c>
      <c r="L42" s="19">
        <f t="shared" ref="L42:L60" si="20">L43*(1+F43*G43)</f>
        <v>0.63534625985021553</v>
      </c>
      <c r="M42" s="19">
        <v>0.63534625972411896</v>
      </c>
      <c r="N42" s="18">
        <f>L42</f>
        <v>0.63534625985021553</v>
      </c>
    </row>
    <row r="43" spans="1:14">
      <c r="A43" s="13">
        <v>40</v>
      </c>
      <c r="B43">
        <v>20.5</v>
      </c>
      <c r="C43" s="5">
        <v>52243</v>
      </c>
      <c r="D43" s="18">
        <v>0.64573914209288952</v>
      </c>
      <c r="E43" s="18">
        <v>0.62923895877524105</v>
      </c>
      <c r="F43" s="18">
        <v>1.57299670783482E-2</v>
      </c>
      <c r="G43" s="18">
        <v>0.50555555555555554</v>
      </c>
      <c r="H43" s="18">
        <v>0</v>
      </c>
      <c r="I43" s="18"/>
      <c r="J43" s="18"/>
      <c r="K43" s="18">
        <f t="shared" si="16"/>
        <v>0.37864741929483725</v>
      </c>
      <c r="L43" s="18">
        <f t="shared" si="20"/>
        <v>0.63033361232635687</v>
      </c>
      <c r="M43" s="18"/>
      <c r="N43" s="18"/>
    </row>
    <row r="44" spans="1:14">
      <c r="A44" s="13">
        <v>41</v>
      </c>
      <c r="B44">
        <v>21</v>
      </c>
      <c r="C44" s="5">
        <v>52425</v>
      </c>
      <c r="D44" s="18">
        <v>0.6402741031535254</v>
      </c>
      <c r="E44" s="18">
        <v>0.62437792638072032</v>
      </c>
      <c r="F44" s="18">
        <v>1.53996938488435E-2</v>
      </c>
      <c r="G44" s="18">
        <v>0.50555555555555554</v>
      </c>
      <c r="H44" s="18">
        <v>0</v>
      </c>
      <c r="I44" s="18"/>
      <c r="J44" s="18"/>
      <c r="K44" s="18">
        <f t="shared" si="16"/>
        <v>0.38363220979639029</v>
      </c>
      <c r="L44" s="18">
        <f t="shared" si="20"/>
        <v>0.62546412345230862</v>
      </c>
      <c r="M44" s="18"/>
      <c r="N44" s="18"/>
    </row>
    <row r="45" spans="1:14">
      <c r="A45" s="13">
        <v>42</v>
      </c>
      <c r="B45">
        <v>21.5</v>
      </c>
      <c r="C45" s="5">
        <v>52608</v>
      </c>
      <c r="D45" s="18">
        <v>0.634927113266328</v>
      </c>
      <c r="E45" s="18">
        <v>0.61963339874338974</v>
      </c>
      <c r="F45" s="18">
        <v>1.5062316009954399E-2</v>
      </c>
      <c r="G45" s="18">
        <v>0.5083333333333333</v>
      </c>
      <c r="H45" s="18">
        <v>0</v>
      </c>
      <c r="I45" s="18"/>
      <c r="J45" s="18"/>
      <c r="K45" s="18">
        <f t="shared" si="16"/>
        <v>0.38849364181490392</v>
      </c>
      <c r="L45" s="18">
        <f t="shared" si="20"/>
        <v>0.62071153552526326</v>
      </c>
      <c r="M45" s="18"/>
      <c r="N45" s="18"/>
    </row>
    <row r="46" spans="1:14">
      <c r="A46" s="13">
        <v>43</v>
      </c>
      <c r="B46">
        <v>22</v>
      </c>
      <c r="C46" s="5">
        <v>52790</v>
      </c>
      <c r="D46" s="18">
        <v>0.62975313698155089</v>
      </c>
      <c r="E46" s="18">
        <v>0.61505604443203954</v>
      </c>
      <c r="F46" s="18">
        <v>1.47207844081999E-2</v>
      </c>
      <c r="G46" s="18">
        <v>0.50555555555555554</v>
      </c>
      <c r="H46" s="18">
        <v>0</v>
      </c>
      <c r="I46" s="18"/>
      <c r="J46" s="18"/>
      <c r="K46" s="18">
        <f t="shared" si="16"/>
        <v>0.39318037445129428</v>
      </c>
      <c r="L46" s="18">
        <f t="shared" si="20"/>
        <v>0.61612621680454338</v>
      </c>
      <c r="M46" s="18"/>
      <c r="N46" s="18"/>
    </row>
    <row r="47" spans="1:14">
      <c r="A47" s="13">
        <v>44</v>
      </c>
      <c r="B47">
        <v>22.5</v>
      </c>
      <c r="C47" s="5">
        <v>52974</v>
      </c>
      <c r="D47" s="18">
        <v>0.6246646569460953</v>
      </c>
      <c r="E47" s="18">
        <v>0.61057042362918235</v>
      </c>
      <c r="F47" s="18">
        <v>1.4373795838521899E-2</v>
      </c>
      <c r="G47" s="18">
        <v>0.51111111111111107</v>
      </c>
      <c r="H47" s="18">
        <v>0</v>
      </c>
      <c r="I47" s="18"/>
      <c r="J47" s="18"/>
      <c r="K47" s="18">
        <f t="shared" si="16"/>
        <v>0.39776954004394138</v>
      </c>
      <c r="L47" s="18">
        <f t="shared" si="20"/>
        <v>0.61163279120487102</v>
      </c>
      <c r="M47" s="18"/>
      <c r="N47" s="18"/>
    </row>
    <row r="48" spans="1:14">
      <c r="A48" s="13">
        <v>45</v>
      </c>
      <c r="B48">
        <v>23</v>
      </c>
      <c r="C48" s="5">
        <v>53155</v>
      </c>
      <c r="D48" s="18">
        <v>0.61979555389178442</v>
      </c>
      <c r="E48" s="18">
        <v>0.60629619276544222</v>
      </c>
      <c r="F48" s="18">
        <v>1.40215834415629E-2</v>
      </c>
      <c r="G48" s="18">
        <v>0.50277777777777777</v>
      </c>
      <c r="H48" s="18">
        <v>0</v>
      </c>
      <c r="I48" s="18"/>
      <c r="J48" s="18"/>
      <c r="K48" s="18">
        <f t="shared" si="16"/>
        <v>0.40213893790139749</v>
      </c>
      <c r="L48" s="18">
        <f t="shared" si="20"/>
        <v>0.60735112335416774</v>
      </c>
      <c r="M48" s="18"/>
      <c r="N48" s="18"/>
    </row>
    <row r="49" spans="1:14">
      <c r="A49" s="13">
        <v>46</v>
      </c>
      <c r="B49">
        <v>23.5</v>
      </c>
      <c r="C49" s="5">
        <v>53339</v>
      </c>
      <c r="D49" s="18">
        <v>0.61498122338346772</v>
      </c>
      <c r="E49" s="18">
        <v>0.60209061125679897</v>
      </c>
      <c r="F49" s="18">
        <v>1.36662347718224E-2</v>
      </c>
      <c r="G49" s="18">
        <v>0.51111111111111107</v>
      </c>
      <c r="H49" s="18">
        <v>0</v>
      </c>
      <c r="I49" s="18"/>
      <c r="J49" s="18"/>
      <c r="K49" s="18">
        <f t="shared" si="16"/>
        <v>0.40643455987734156</v>
      </c>
      <c r="L49" s="18">
        <f t="shared" si="20"/>
        <v>0.60313822430563258</v>
      </c>
      <c r="M49" s="18"/>
      <c r="N49" s="18"/>
    </row>
    <row r="50" spans="1:14">
      <c r="A50" s="13">
        <v>47</v>
      </c>
      <c r="B50">
        <v>24</v>
      </c>
      <c r="C50" s="5">
        <v>53520</v>
      </c>
      <c r="D50" s="18">
        <v>0.61037562509683041</v>
      </c>
      <c r="E50" s="18">
        <v>0.59808983719780817</v>
      </c>
      <c r="F50" s="18">
        <v>1.3304591007762099E-2</v>
      </c>
      <c r="G50" s="18">
        <v>0.50277777777777777</v>
      </c>
      <c r="H50" s="18">
        <v>0</v>
      </c>
      <c r="I50" s="18"/>
      <c r="J50" s="18"/>
      <c r="K50" s="18">
        <f t="shared" si="16"/>
        <v>0.41051751667622127</v>
      </c>
      <c r="L50" s="18">
        <f t="shared" si="20"/>
        <v>0.59913048906333932</v>
      </c>
      <c r="M50" s="18"/>
      <c r="N50" s="18"/>
    </row>
    <row r="51" spans="1:14">
      <c r="A51" s="13">
        <v>48</v>
      </c>
      <c r="B51">
        <v>24.5</v>
      </c>
      <c r="C51" s="5">
        <v>53706</v>
      </c>
      <c r="D51" s="18">
        <v>0.60577431036681406</v>
      </c>
      <c r="E51" s="18">
        <v>0.59411834436985755</v>
      </c>
      <c r="F51" s="18">
        <v>1.29380962311729E-2</v>
      </c>
      <c r="G51" s="18">
        <v>0.51666666666666672</v>
      </c>
      <c r="H51" s="18">
        <v>0</v>
      </c>
      <c r="I51" s="18"/>
      <c r="J51" s="18"/>
      <c r="K51" s="18">
        <f t="shared" si="16"/>
        <v>0.41456692594253536</v>
      </c>
      <c r="L51" s="18">
        <f t="shared" si="20"/>
        <v>0.59515208600023128</v>
      </c>
      <c r="M51" s="18"/>
      <c r="N51" s="18"/>
    </row>
    <row r="52" spans="1:14">
      <c r="A52" s="13">
        <v>49</v>
      </c>
      <c r="B52">
        <v>25</v>
      </c>
      <c r="C52" s="5">
        <v>53885</v>
      </c>
      <c r="D52" s="18">
        <v>0.60146922482722898</v>
      </c>
      <c r="E52" s="18">
        <v>0.59042925412809355</v>
      </c>
      <c r="F52" s="18">
        <v>1.2563696621126301E-2</v>
      </c>
      <c r="G52" s="18">
        <v>0.49722222222222218</v>
      </c>
      <c r="H52" s="18">
        <v>2.1509999999999998</v>
      </c>
      <c r="I52" s="18">
        <v>1.002777777777778</v>
      </c>
      <c r="J52" s="18">
        <v>20.04276006411229</v>
      </c>
      <c r="K52" s="18">
        <f t="shared" si="16"/>
        <v>0.41832427360729513</v>
      </c>
      <c r="L52" s="18">
        <f t="shared" si="20"/>
        <v>0.59145728243054918</v>
      </c>
      <c r="M52" s="18"/>
      <c r="N52" s="18">
        <f>L52</f>
        <v>0.59145728243054918</v>
      </c>
    </row>
    <row r="53" spans="1:14">
      <c r="A53" s="13">
        <v>50</v>
      </c>
      <c r="B53">
        <v>25.5</v>
      </c>
      <c r="C53" s="5">
        <v>54070</v>
      </c>
      <c r="D53" s="18">
        <v>0.59714179724358019</v>
      </c>
      <c r="E53" s="18">
        <v>0.58675019054605404</v>
      </c>
      <c r="F53" s="18">
        <v>1.22015450147267E-2</v>
      </c>
      <c r="G53" s="18">
        <v>0.51388888888888884</v>
      </c>
      <c r="H53" s="18">
        <v>0</v>
      </c>
      <c r="I53" s="18"/>
      <c r="J53" s="18"/>
      <c r="K53" s="18">
        <f t="shared" si="16"/>
        <v>0.42206849504079469</v>
      </c>
      <c r="L53" s="18">
        <f t="shared" si="20"/>
        <v>0.58777181303195769</v>
      </c>
      <c r="M53" s="18"/>
      <c r="N53" s="18"/>
    </row>
    <row r="54" spans="1:14">
      <c r="A54" s="13">
        <v>51</v>
      </c>
      <c r="B54">
        <v>26</v>
      </c>
      <c r="C54" s="5">
        <v>54252</v>
      </c>
      <c r="D54" s="18">
        <v>0.59299302894571138</v>
      </c>
      <c r="E54" s="18">
        <v>0.58325070461122197</v>
      </c>
      <c r="F54" s="18">
        <v>1.1868069830263801E-2</v>
      </c>
      <c r="G54" s="18">
        <v>0.50555555555555554</v>
      </c>
      <c r="H54" s="18">
        <v>0</v>
      </c>
      <c r="I54" s="18"/>
      <c r="J54" s="18"/>
      <c r="K54" s="18">
        <f t="shared" si="16"/>
        <v>0.42562643461607941</v>
      </c>
      <c r="L54" s="18">
        <f t="shared" si="20"/>
        <v>0.5842662339529261</v>
      </c>
      <c r="M54" s="18"/>
      <c r="N54" s="18"/>
    </row>
    <row r="55" spans="1:14">
      <c r="A55" s="13">
        <v>52</v>
      </c>
      <c r="B55">
        <v>26.5</v>
      </c>
      <c r="C55" s="5">
        <v>54435</v>
      </c>
      <c r="D55" s="18">
        <v>0.58891583250939061</v>
      </c>
      <c r="E55" s="18">
        <v>0.57983716615897962</v>
      </c>
      <c r="F55" s="18">
        <v>1.15805884799351E-2</v>
      </c>
      <c r="G55" s="18">
        <v>0.5083333333333333</v>
      </c>
      <c r="H55" s="18">
        <v>0</v>
      </c>
      <c r="I55" s="18"/>
      <c r="J55" s="18"/>
      <c r="K55" s="18">
        <f t="shared" si="16"/>
        <v>0.42909326383476432</v>
      </c>
      <c r="L55" s="18">
        <f t="shared" si="20"/>
        <v>0.58084690489044111</v>
      </c>
      <c r="M55" s="18"/>
      <c r="N55" s="18"/>
    </row>
    <row r="56" spans="1:14">
      <c r="A56" s="13">
        <v>53</v>
      </c>
      <c r="B56">
        <v>27</v>
      </c>
      <c r="C56" s="5">
        <v>54616</v>
      </c>
      <c r="D56" s="18">
        <v>0.58496282841536662</v>
      </c>
      <c r="E56" s="18">
        <v>0.57655059372333639</v>
      </c>
      <c r="F56" s="18">
        <v>1.13378239913883E-2</v>
      </c>
      <c r="G56" s="18">
        <v>0.50277777777777777</v>
      </c>
      <c r="H56" s="18">
        <v>0</v>
      </c>
      <c r="I56" s="18"/>
      <c r="J56" s="18"/>
      <c r="K56" s="18">
        <f t="shared" si="16"/>
        <v>0.43242778942310917</v>
      </c>
      <c r="L56" s="18">
        <f t="shared" si="20"/>
        <v>0.57755460915923196</v>
      </c>
      <c r="M56" s="18"/>
      <c r="N56" s="18"/>
    </row>
    <row r="57" spans="1:14">
      <c r="A57" s="13">
        <v>54</v>
      </c>
      <c r="B57">
        <v>27.5</v>
      </c>
      <c r="C57" s="5">
        <v>54800</v>
      </c>
      <c r="D57" s="18">
        <v>0.58101208887308553</v>
      </c>
      <c r="E57" s="18">
        <v>0.57328687722651306</v>
      </c>
      <c r="F57" s="18">
        <v>1.1138458824115899E-2</v>
      </c>
      <c r="G57" s="18">
        <v>0.51111111111111107</v>
      </c>
      <c r="H57" s="18">
        <v>0</v>
      </c>
      <c r="I57" s="18"/>
      <c r="J57" s="18"/>
      <c r="K57" s="18">
        <f t="shared" si="16"/>
        <v>0.43573548547309154</v>
      </c>
      <c r="L57" s="18">
        <f t="shared" si="20"/>
        <v>0.57428520916858017</v>
      </c>
      <c r="M57" s="18"/>
      <c r="N57" s="18"/>
    </row>
    <row r="58" spans="1:14">
      <c r="A58" s="13">
        <v>55</v>
      </c>
      <c r="B58">
        <v>28</v>
      </c>
      <c r="C58" s="5">
        <v>54981</v>
      </c>
      <c r="D58" s="18">
        <v>0.57717966116032426</v>
      </c>
      <c r="E58" s="18">
        <v>0.57013896952900966</v>
      </c>
      <c r="F58" s="18">
        <v>1.09815890846915E-2</v>
      </c>
      <c r="G58" s="18">
        <v>0.50277777777777777</v>
      </c>
      <c r="H58" s="18">
        <v>0</v>
      </c>
      <c r="I58" s="18"/>
      <c r="J58" s="18"/>
      <c r="K58" s="18">
        <f t="shared" si="16"/>
        <v>0.4389222669339517</v>
      </c>
      <c r="L58" s="18">
        <f t="shared" si="20"/>
        <v>0.57113181964874682</v>
      </c>
      <c r="M58" s="18"/>
      <c r="N58" s="18"/>
    </row>
    <row r="59" spans="1:14">
      <c r="A59" s="13">
        <v>56</v>
      </c>
      <c r="B59">
        <v>28.5</v>
      </c>
      <c r="C59" s="5">
        <v>55165</v>
      </c>
      <c r="D59" s="18">
        <v>0.57332577765484094</v>
      </c>
      <c r="E59" s="18">
        <v>0.56698905422546453</v>
      </c>
      <c r="F59" s="18">
        <v>1.0869482791382201E-2</v>
      </c>
      <c r="G59" s="18">
        <v>0.51111111111111107</v>
      </c>
      <c r="H59" s="18">
        <v>0</v>
      </c>
      <c r="I59" s="18"/>
      <c r="J59" s="18"/>
      <c r="K59" s="18">
        <f t="shared" si="16"/>
        <v>0.4421073859895901</v>
      </c>
      <c r="L59" s="18">
        <f t="shared" si="20"/>
        <v>0.56797641902679086</v>
      </c>
      <c r="M59" s="18"/>
      <c r="N59" s="18"/>
    </row>
    <row r="60" spans="1:14">
      <c r="A60" s="13">
        <v>57</v>
      </c>
      <c r="B60">
        <v>29</v>
      </c>
      <c r="C60" s="5">
        <v>55346</v>
      </c>
      <c r="D60" s="18">
        <v>0.56956397983013385</v>
      </c>
      <c r="E60" s="18">
        <v>0.56392695819486949</v>
      </c>
      <c r="F60" s="18">
        <v>1.07999035290495E-2</v>
      </c>
      <c r="G60" s="18">
        <v>0.50277777777777777</v>
      </c>
      <c r="H60" s="18">
        <v>0</v>
      </c>
      <c r="I60" s="18"/>
      <c r="J60" s="18"/>
      <c r="K60" s="18">
        <f t="shared" si="16"/>
        <v>0.44520009077424966</v>
      </c>
      <c r="L60" s="18">
        <f t="shared" si="20"/>
        <v>0.5649089906078254</v>
      </c>
      <c r="M60" s="18"/>
      <c r="N60" s="18"/>
    </row>
    <row r="61" spans="1:14">
      <c r="A61" s="13">
        <v>58</v>
      </c>
      <c r="B61">
        <v>29.5</v>
      </c>
      <c r="C61" s="5">
        <v>55530</v>
      </c>
      <c r="D61" s="18">
        <v>0.56575749067846093</v>
      </c>
      <c r="E61" s="18">
        <v>0.56083828488264831</v>
      </c>
      <c r="F61" s="18">
        <v>1.0775042723228601E-2</v>
      </c>
      <c r="G61" s="18">
        <v>0.51111111111111107</v>
      </c>
      <c r="H61" s="18">
        <v>0</v>
      </c>
      <c r="I61" s="18"/>
      <c r="J61" s="18"/>
      <c r="K61" s="18">
        <f t="shared" si="16"/>
        <v>0.4483158553533626</v>
      </c>
      <c r="L61" s="18">
        <f>(L62*(H62/100*J62-K61+D62)/D62)</f>
        <v>0.56181493862508392</v>
      </c>
      <c r="M61" s="18"/>
      <c r="N61" s="18"/>
    </row>
    <row r="62" spans="1:14">
      <c r="A62" s="13">
        <v>59</v>
      </c>
      <c r="B62">
        <v>30</v>
      </c>
      <c r="C62" s="5">
        <v>55712</v>
      </c>
      <c r="D62" s="18">
        <v>0.56199826955425991</v>
      </c>
      <c r="E62" s="18">
        <v>0.55779469673686044</v>
      </c>
      <c r="F62" s="18">
        <v>1.0793010904611801E-2</v>
      </c>
      <c r="G62" s="18">
        <v>0.50555555555555554</v>
      </c>
      <c r="H62" s="18">
        <v>2.0185611848450669</v>
      </c>
      <c r="I62" s="18">
        <v>1</v>
      </c>
      <c r="J62" s="18">
        <v>22.334839906326771</v>
      </c>
      <c r="K62" s="18">
        <f t="shared" si="16"/>
        <v>0.45138238015393017</v>
      </c>
      <c r="L62" s="18">
        <f t="shared" ref="L62:L70" si="21">L63*(1+F63*G63)</f>
        <v>0.55930051313034512</v>
      </c>
      <c r="M62" s="18"/>
      <c r="N62" s="18">
        <f>L62</f>
        <v>0.55930051313034512</v>
      </c>
    </row>
    <row r="63" spans="1:14">
      <c r="A63" s="13">
        <v>60</v>
      </c>
      <c r="B63">
        <v>30.5</v>
      </c>
      <c r="C63" s="5">
        <v>55897</v>
      </c>
      <c r="D63" s="18">
        <v>0.55817405862420799</v>
      </c>
      <c r="E63" s="18">
        <v>0.55470287369725568</v>
      </c>
      <c r="F63" s="18">
        <v>1.0846384244233899E-2</v>
      </c>
      <c r="G63" s="18">
        <v>0.51388888888888884</v>
      </c>
      <c r="H63" s="18">
        <v>0</v>
      </c>
      <c r="I63" s="18"/>
      <c r="J63" s="18"/>
      <c r="K63" s="18">
        <f t="shared" si="16"/>
        <v>0.45449355101025046</v>
      </c>
      <c r="L63" s="18">
        <f t="shared" si="21"/>
        <v>0.55620034343946156</v>
      </c>
      <c r="M63" s="18"/>
      <c r="N63" s="18"/>
    </row>
    <row r="64" spans="1:14">
      <c r="A64" s="13">
        <v>61</v>
      </c>
      <c r="B64">
        <v>31</v>
      </c>
      <c r="C64" s="5">
        <v>56079</v>
      </c>
      <c r="D64" s="18">
        <v>0.55441017461360897</v>
      </c>
      <c r="E64" s="18">
        <v>0.55166414272305053</v>
      </c>
      <c r="F64" s="18">
        <v>1.08955362271776E-2</v>
      </c>
      <c r="G64" s="18">
        <v>0.50555555555555554</v>
      </c>
      <c r="H64" s="18">
        <v>0</v>
      </c>
      <c r="I64" s="18"/>
      <c r="J64" s="18"/>
      <c r="K64" s="18">
        <f t="shared" si="16"/>
        <v>0.45754740794881643</v>
      </c>
      <c r="L64" s="18">
        <f t="shared" si="21"/>
        <v>0.55315340914073019</v>
      </c>
      <c r="M64" s="18"/>
      <c r="N64" s="18"/>
    </row>
    <row r="65" spans="1:14">
      <c r="A65" s="13">
        <v>62</v>
      </c>
      <c r="B65">
        <v>31.5</v>
      </c>
      <c r="C65" s="5">
        <v>56261</v>
      </c>
      <c r="D65" s="18">
        <v>0.55064827385461712</v>
      </c>
      <c r="E65" s="18">
        <v>0.5486319065880878</v>
      </c>
      <c r="F65" s="18">
        <v>1.0932826565357399E-2</v>
      </c>
      <c r="G65" s="18">
        <v>0.50555555555555554</v>
      </c>
      <c r="H65" s="18">
        <v>0</v>
      </c>
      <c r="I65" s="18"/>
      <c r="J65" s="18"/>
      <c r="K65" s="18">
        <f t="shared" si="16"/>
        <v>0.46059092422085812</v>
      </c>
      <c r="L65" s="18">
        <f t="shared" si="21"/>
        <v>0.55011285222499551</v>
      </c>
      <c r="M65" s="18"/>
      <c r="N65" s="18"/>
    </row>
    <row r="66" spans="1:14">
      <c r="A66" s="13">
        <v>63</v>
      </c>
      <c r="B66">
        <v>32</v>
      </c>
      <c r="C66" s="5">
        <v>56443</v>
      </c>
      <c r="D66" s="18">
        <v>0.546891901283866</v>
      </c>
      <c r="E66" s="18">
        <v>0.54560963384076011</v>
      </c>
      <c r="F66" s="18">
        <v>1.0956774856977301E-2</v>
      </c>
      <c r="G66" s="18">
        <v>0.50555555555555554</v>
      </c>
      <c r="H66" s="18">
        <v>0</v>
      </c>
      <c r="I66" s="18"/>
      <c r="J66" s="18"/>
      <c r="K66" s="18">
        <f t="shared" si="16"/>
        <v>0.46362029977889097</v>
      </c>
      <c r="L66" s="18">
        <f t="shared" si="21"/>
        <v>0.54708242132721219</v>
      </c>
      <c r="M66" s="18"/>
      <c r="N66" s="18"/>
    </row>
    <row r="67" spans="1:14">
      <c r="A67" s="13">
        <v>64</v>
      </c>
      <c r="B67">
        <v>32.5</v>
      </c>
      <c r="C67" s="5">
        <v>56626</v>
      </c>
      <c r="D67" s="18">
        <v>0.5431239515609213</v>
      </c>
      <c r="E67" s="18">
        <v>0.54258422783504157</v>
      </c>
      <c r="F67" s="18">
        <v>1.09691991996723E-2</v>
      </c>
      <c r="G67" s="18">
        <v>0.5083333333333333</v>
      </c>
      <c r="H67" s="18">
        <v>0</v>
      </c>
      <c r="I67" s="18"/>
      <c r="J67" s="18"/>
      <c r="K67" s="18">
        <f t="shared" si="16"/>
        <v>0.46664876414307332</v>
      </c>
      <c r="L67" s="18">
        <f t="shared" si="21"/>
        <v>0.54404879999926548</v>
      </c>
      <c r="M67" s="18"/>
      <c r="N67" s="18"/>
    </row>
    <row r="68" spans="1:14">
      <c r="A68" s="13">
        <v>65</v>
      </c>
      <c r="B68">
        <v>33</v>
      </c>
      <c r="C68" s="5">
        <v>56807</v>
      </c>
      <c r="D68" s="18">
        <v>0.53940946446737725</v>
      </c>
      <c r="E68" s="18">
        <v>0.53960847472234175</v>
      </c>
      <c r="F68" s="18">
        <v>1.0968369202468299E-2</v>
      </c>
      <c r="G68" s="18">
        <v>0.50277777777777777</v>
      </c>
      <c r="H68" s="18">
        <v>0</v>
      </c>
      <c r="I68" s="18"/>
      <c r="J68" s="18"/>
      <c r="K68" s="18">
        <f t="shared" ref="K68:K99" si="22">K67+(F68*G68*D68)</f>
        <v>0.4696234197834141</v>
      </c>
      <c r="L68" s="18">
        <f t="shared" si="21"/>
        <v>0.54106501457572276</v>
      </c>
      <c r="M68" s="18"/>
      <c r="N68" s="18"/>
    </row>
    <row r="69" spans="1:14">
      <c r="A69" s="13">
        <v>66</v>
      </c>
      <c r="B69">
        <v>33.5</v>
      </c>
      <c r="C69" s="5">
        <v>56991</v>
      </c>
      <c r="D69" s="18">
        <v>0.53564926141067259</v>
      </c>
      <c r="E69" s="18">
        <v>0.53660360945520758</v>
      </c>
      <c r="F69" s="18">
        <v>1.0956102632769599E-2</v>
      </c>
      <c r="G69" s="18">
        <v>0.51111111111111107</v>
      </c>
      <c r="H69" s="18">
        <v>0</v>
      </c>
      <c r="I69" s="18"/>
      <c r="J69" s="18"/>
      <c r="K69" s="18">
        <f t="shared" si="22"/>
        <v>0.47262294090592966</v>
      </c>
      <c r="L69" s="18">
        <f t="shared" si="21"/>
        <v>0.53805203841667226</v>
      </c>
      <c r="M69" s="18"/>
      <c r="N69" s="18"/>
    </row>
    <row r="70" spans="1:14">
      <c r="A70" s="13">
        <v>67</v>
      </c>
      <c r="B70">
        <v>34</v>
      </c>
      <c r="C70" s="5">
        <v>57173</v>
      </c>
      <c r="D70" s="18">
        <v>0.53194885680512016</v>
      </c>
      <c r="E70" s="18">
        <v>0.53365464410213215</v>
      </c>
      <c r="F70" s="18">
        <v>1.0930511605727E-2</v>
      </c>
      <c r="G70" s="18">
        <v>0.50555555555555554</v>
      </c>
      <c r="H70" s="18">
        <v>0</v>
      </c>
      <c r="I70" s="18"/>
      <c r="J70" s="18"/>
      <c r="K70" s="18">
        <f t="shared" si="22"/>
        <v>0.47556248011103802</v>
      </c>
      <c r="L70" s="18">
        <f t="shared" si="21"/>
        <v>0.53509511305969737</v>
      </c>
      <c r="M70" s="18"/>
      <c r="N70" s="18"/>
    </row>
    <row r="71" spans="1:14">
      <c r="A71" s="13">
        <v>68</v>
      </c>
      <c r="B71">
        <v>34.5</v>
      </c>
      <c r="C71" s="5">
        <v>57357</v>
      </c>
      <c r="D71" s="18">
        <v>0.52823009110863162</v>
      </c>
      <c r="E71" s="18">
        <v>0.53069993891946243</v>
      </c>
      <c r="F71" s="18">
        <v>1.0893057448593301E-2</v>
      </c>
      <c r="G71" s="18">
        <v>0.51111111111111107</v>
      </c>
      <c r="H71" s="18">
        <v>0</v>
      </c>
      <c r="I71" s="18"/>
      <c r="J71" s="18"/>
      <c r="K71" s="18">
        <f t="shared" si="22"/>
        <v>0.47850343426117148</v>
      </c>
      <c r="L71" s="18">
        <f>(L72*(H72/100*J72-K71+D72)/D72)</f>
        <v>0.53213243237987529</v>
      </c>
      <c r="M71" s="18"/>
      <c r="N71" s="18"/>
    </row>
    <row r="72" spans="1:14">
      <c r="A72" s="13">
        <v>69</v>
      </c>
      <c r="B72">
        <v>35</v>
      </c>
      <c r="C72" s="5">
        <v>57538</v>
      </c>
      <c r="D72" s="18">
        <v>0.52459684006245333</v>
      </c>
      <c r="E72" s="18">
        <v>0.52782259332972981</v>
      </c>
      <c r="F72" s="18">
        <v>1.08424636949378E-2</v>
      </c>
      <c r="G72" s="18">
        <v>0.50277777777777777</v>
      </c>
      <c r="H72" s="18">
        <v>1.9203498989916454</v>
      </c>
      <c r="I72" s="18">
        <v>1</v>
      </c>
      <c r="J72" s="18">
        <v>25.032159696291082</v>
      </c>
      <c r="K72" s="18">
        <f t="shared" si="22"/>
        <v>0.48136319514146864</v>
      </c>
      <c r="L72" s="18">
        <f t="shared" ref="L72:L80" si="23">L73*(1+F73*G73)</f>
        <v>0.52990852122386622</v>
      </c>
      <c r="M72" s="18"/>
      <c r="N72" s="18">
        <f>L72</f>
        <v>0.52990852122386622</v>
      </c>
    </row>
    <row r="73" spans="1:14">
      <c r="A73" s="13">
        <v>70</v>
      </c>
      <c r="B73">
        <v>35.5</v>
      </c>
      <c r="C73" s="5">
        <v>57724</v>
      </c>
      <c r="D73" s="18">
        <v>0.52089196930492376</v>
      </c>
      <c r="E73" s="18">
        <v>0.5248990250607739</v>
      </c>
      <c r="F73" s="18">
        <v>1.07802052586819E-2</v>
      </c>
      <c r="G73" s="18">
        <v>0.51666666666666672</v>
      </c>
      <c r="H73" s="18">
        <v>0</v>
      </c>
      <c r="I73" s="18"/>
      <c r="J73" s="18"/>
      <c r="K73" s="18">
        <f t="shared" si="22"/>
        <v>0.48426444502060012</v>
      </c>
      <c r="L73" s="18">
        <f t="shared" si="23"/>
        <v>0.52697339916263297</v>
      </c>
      <c r="M73" s="18"/>
      <c r="N73" s="18"/>
    </row>
    <row r="74" spans="1:14">
      <c r="A74" s="13">
        <v>71</v>
      </c>
      <c r="B74">
        <v>36</v>
      </c>
      <c r="C74" s="5">
        <v>57903</v>
      </c>
      <c r="D74" s="18">
        <v>0.51735683932539711</v>
      </c>
      <c r="E74" s="18">
        <v>0.5221203071921855</v>
      </c>
      <c r="F74" s="18">
        <v>1.07032216274824E-2</v>
      </c>
      <c r="G74" s="18">
        <v>0.49722222222222218</v>
      </c>
      <c r="H74" s="18">
        <v>0</v>
      </c>
      <c r="I74" s="18"/>
      <c r="J74" s="18"/>
      <c r="K74" s="18">
        <f t="shared" si="22"/>
        <v>0.4870177558517419</v>
      </c>
      <c r="L74" s="18">
        <f t="shared" si="23"/>
        <v>0.52418375630101721</v>
      </c>
      <c r="M74" s="18"/>
      <c r="N74" s="18"/>
    </row>
    <row r="75" spans="1:14">
      <c r="A75" s="13">
        <v>72</v>
      </c>
      <c r="B75">
        <v>36.5</v>
      </c>
      <c r="C75" s="5">
        <v>58088</v>
      </c>
      <c r="D75" s="18">
        <v>0.51373727224032295</v>
      </c>
      <c r="E75" s="18">
        <v>0.51928740042500721</v>
      </c>
      <c r="F75" s="18">
        <v>1.06158621108882E-2</v>
      </c>
      <c r="G75" s="18">
        <v>0.51388888888888884</v>
      </c>
      <c r="H75" s="18">
        <v>0</v>
      </c>
      <c r="I75" s="18"/>
      <c r="J75" s="18"/>
      <c r="K75" s="18">
        <f t="shared" si="22"/>
        <v>0.48982038459622945</v>
      </c>
      <c r="L75" s="18">
        <f t="shared" si="23"/>
        <v>0.5213396537253947</v>
      </c>
      <c r="M75" s="18"/>
      <c r="N75" s="18"/>
    </row>
    <row r="76" spans="1:14">
      <c r="A76" s="13">
        <v>73</v>
      </c>
      <c r="B76">
        <v>37</v>
      </c>
      <c r="C76" s="5">
        <v>58270</v>
      </c>
      <c r="D76" s="18">
        <v>0.51021287719542696</v>
      </c>
      <c r="E76" s="18">
        <v>0.51654201597351568</v>
      </c>
      <c r="F76" s="18">
        <v>1.05130475648442E-2</v>
      </c>
      <c r="G76" s="18">
        <v>0.50555555555555554</v>
      </c>
      <c r="H76" s="18">
        <v>0</v>
      </c>
      <c r="I76" s="18"/>
      <c r="J76" s="18"/>
      <c r="K76" s="18">
        <f t="shared" si="22"/>
        <v>0.49253213012067271</v>
      </c>
      <c r="L76" s="18">
        <f t="shared" si="23"/>
        <v>0.51858341935862162</v>
      </c>
      <c r="M76" s="18"/>
      <c r="N76" s="18"/>
    </row>
    <row r="77" spans="1:14">
      <c r="A77" s="13">
        <v>74</v>
      </c>
      <c r="B77">
        <v>37.5</v>
      </c>
      <c r="C77" s="5">
        <v>58452</v>
      </c>
      <c r="D77" s="18">
        <v>0.50672726759364373</v>
      </c>
      <c r="E77" s="18">
        <v>0.51384074987513662</v>
      </c>
      <c r="F77" s="18">
        <v>1.0398104339398801E-2</v>
      </c>
      <c r="G77" s="18">
        <v>0.50555555555555554</v>
      </c>
      <c r="H77" s="18">
        <v>0</v>
      </c>
      <c r="I77" s="18"/>
      <c r="J77" s="18"/>
      <c r="K77" s="18">
        <f t="shared" si="22"/>
        <v>0.4951959038595905</v>
      </c>
      <c r="L77" s="18">
        <f t="shared" si="23"/>
        <v>0.51587157564360064</v>
      </c>
      <c r="M77" s="18"/>
      <c r="N77" s="18"/>
    </row>
    <row r="78" spans="1:14">
      <c r="A78" s="13">
        <v>75</v>
      </c>
      <c r="B78">
        <v>38</v>
      </c>
      <c r="C78" s="5">
        <v>58634</v>
      </c>
      <c r="D78" s="18">
        <v>0.50328295965269065</v>
      </c>
      <c r="E78" s="18">
        <v>0.51118640050096331</v>
      </c>
      <c r="F78" s="18">
        <v>1.0270933253150399E-2</v>
      </c>
      <c r="G78" s="18">
        <v>0.50555555555555554</v>
      </c>
      <c r="H78" s="18">
        <v>0</v>
      </c>
      <c r="I78" s="18"/>
      <c r="J78" s="18"/>
      <c r="K78" s="18">
        <f t="shared" si="22"/>
        <v>0.49780921440086667</v>
      </c>
      <c r="L78" s="18">
        <f t="shared" si="23"/>
        <v>0.51320673562401076</v>
      </c>
      <c r="M78" s="18"/>
      <c r="N78" s="18"/>
    </row>
    <row r="79" spans="1:14">
      <c r="A79" s="13">
        <v>76</v>
      </c>
      <c r="B79">
        <v>38.5</v>
      </c>
      <c r="C79" s="5">
        <v>58818</v>
      </c>
      <c r="D79" s="18">
        <v>0.49984527842257231</v>
      </c>
      <c r="E79" s="18">
        <v>0.50855337125243827</v>
      </c>
      <c r="F79" s="18">
        <v>1.0129868870633E-2</v>
      </c>
      <c r="G79" s="18">
        <v>0.51111111111111107</v>
      </c>
      <c r="H79" s="18">
        <v>0</v>
      </c>
      <c r="I79" s="18"/>
      <c r="J79" s="18"/>
      <c r="K79" s="18">
        <f t="shared" si="22"/>
        <v>0.50039715759861314</v>
      </c>
      <c r="L79" s="18">
        <f t="shared" si="23"/>
        <v>0.51056329999248018</v>
      </c>
      <c r="M79" s="18"/>
      <c r="N79" s="18"/>
    </row>
    <row r="80" spans="1:14">
      <c r="A80" s="13">
        <v>77</v>
      </c>
      <c r="B80">
        <v>39</v>
      </c>
      <c r="C80" s="5">
        <v>58999</v>
      </c>
      <c r="D80" s="18">
        <v>0.49650964556268212</v>
      </c>
      <c r="E80" s="18">
        <v>0.50601548457043399</v>
      </c>
      <c r="F80" s="18">
        <v>9.9754465449435996E-3</v>
      </c>
      <c r="G80" s="18">
        <v>0.50277777777777777</v>
      </c>
      <c r="H80" s="18">
        <v>0</v>
      </c>
      <c r="I80" s="18"/>
      <c r="J80" s="18"/>
      <c r="K80" s="18">
        <f t="shared" si="22"/>
        <v>0.50288736838342718</v>
      </c>
      <c r="L80" s="18">
        <f t="shared" si="23"/>
        <v>0.50801538295443172</v>
      </c>
      <c r="M80" s="18"/>
      <c r="N80" s="18"/>
    </row>
    <row r="81" spans="1:14">
      <c r="A81" s="13">
        <v>78</v>
      </c>
      <c r="B81">
        <v>39.5</v>
      </c>
      <c r="C81" s="5">
        <v>59183</v>
      </c>
      <c r="D81" s="18">
        <v>0.49316783235733408</v>
      </c>
      <c r="E81" s="18">
        <v>0.50349129580180585</v>
      </c>
      <c r="F81" s="18">
        <v>9.8087697655727703E-3</v>
      </c>
      <c r="G81" s="18">
        <v>0.51111111111111107</v>
      </c>
      <c r="H81" s="18">
        <v>0</v>
      </c>
      <c r="I81" s="18"/>
      <c r="J81" s="18"/>
      <c r="K81" s="18">
        <f t="shared" si="22"/>
        <v>0.50535980179759898</v>
      </c>
      <c r="L81" s="18">
        <f>(L82*(H82/100*J82-K81+D82))/D82</f>
        <v>0.50548121796730194</v>
      </c>
      <c r="M81" s="18"/>
      <c r="N81" s="18"/>
    </row>
    <row r="82" spans="1:14">
      <c r="A82" s="13">
        <v>79</v>
      </c>
      <c r="B82">
        <v>40</v>
      </c>
      <c r="C82" s="5">
        <v>59364</v>
      </c>
      <c r="D82" s="18">
        <v>0.48993103816542471</v>
      </c>
      <c r="E82" s="18">
        <v>0.50106569279954849</v>
      </c>
      <c r="F82" s="18">
        <v>9.6282859328103293E-3</v>
      </c>
      <c r="G82" s="18">
        <v>0.50277777777777777</v>
      </c>
      <c r="H82" s="18">
        <v>1.8401310479256758</v>
      </c>
      <c r="I82" s="18">
        <v>1</v>
      </c>
      <c r="J82" s="18">
        <v>27.549491555734601</v>
      </c>
      <c r="K82" s="18">
        <f t="shared" si="22"/>
        <v>0.50773150318157001</v>
      </c>
      <c r="L82" s="19">
        <f t="shared" ref="L82:L100" si="24">L83*(1+F83*G83)</f>
        <v>0.50384918952720503</v>
      </c>
      <c r="M82" s="19">
        <v>0.50384918952720503</v>
      </c>
      <c r="N82" s="18">
        <f>L82</f>
        <v>0.50384918952720503</v>
      </c>
    </row>
    <row r="83" spans="1:14">
      <c r="A83" s="13">
        <v>80</v>
      </c>
      <c r="B83">
        <v>40.5</v>
      </c>
      <c r="C83" s="5">
        <v>59548</v>
      </c>
      <c r="D83" s="18">
        <v>0.48669362634470931</v>
      </c>
      <c r="E83" s="18">
        <v>0.49865975423065317</v>
      </c>
      <c r="F83" s="18">
        <v>9.4398456525104004E-3</v>
      </c>
      <c r="G83" s="18">
        <v>0.51111111111111107</v>
      </c>
      <c r="H83" s="18">
        <v>0</v>
      </c>
      <c r="I83" s="18"/>
      <c r="J83" s="18"/>
      <c r="K83" s="18">
        <f t="shared" si="22"/>
        <v>0.51007970745697795</v>
      </c>
      <c r="L83" s="18">
        <f t="shared" si="24"/>
        <v>0.50142988560077328</v>
      </c>
      <c r="M83" s="18"/>
      <c r="N83" s="18"/>
    </row>
    <row r="84" spans="1:14">
      <c r="A84" s="13">
        <v>81</v>
      </c>
      <c r="B84">
        <v>41</v>
      </c>
      <c r="C84" s="5">
        <v>59729</v>
      </c>
      <c r="D84" s="18">
        <v>0.4835606296701902</v>
      </c>
      <c r="E84" s="18">
        <v>0.49634912885889831</v>
      </c>
      <c r="F84" s="18">
        <v>9.2590451040213406E-3</v>
      </c>
      <c r="G84" s="18">
        <v>0.50277777777777777</v>
      </c>
      <c r="H84" s="18">
        <v>0</v>
      </c>
      <c r="I84" s="18"/>
      <c r="J84" s="18"/>
      <c r="K84" s="18">
        <f t="shared" si="22"/>
        <v>0.51233079926863567</v>
      </c>
      <c r="L84" s="18">
        <f t="shared" si="24"/>
        <v>0.49910642435090186</v>
      </c>
      <c r="M84" s="18"/>
      <c r="N84" s="18"/>
    </row>
    <row r="85" spans="1:14">
      <c r="A85" s="13">
        <v>82</v>
      </c>
      <c r="B85">
        <v>41.5</v>
      </c>
      <c r="C85" s="5">
        <v>59915</v>
      </c>
      <c r="D85" s="18">
        <v>0.48039334667767708</v>
      </c>
      <c r="E85" s="18">
        <v>0.49402867581010651</v>
      </c>
      <c r="F85" s="18">
        <v>9.0909691464970098E-3</v>
      </c>
      <c r="G85" s="18">
        <v>0.51666666666666672</v>
      </c>
      <c r="H85" s="18">
        <v>0</v>
      </c>
      <c r="I85" s="18"/>
      <c r="J85" s="18"/>
      <c r="K85" s="18">
        <f t="shared" si="22"/>
        <v>0.51458720716659745</v>
      </c>
      <c r="L85" s="18">
        <f t="shared" si="24"/>
        <v>0.49677308082974125</v>
      </c>
      <c r="M85" s="18"/>
      <c r="N85" s="18"/>
    </row>
    <row r="86" spans="1:14">
      <c r="A86" s="13">
        <v>83</v>
      </c>
      <c r="B86">
        <v>42</v>
      </c>
      <c r="C86" s="5">
        <v>60097</v>
      </c>
      <c r="D86" s="18">
        <v>0.4773444128346101</v>
      </c>
      <c r="E86" s="18">
        <v>0.49180732439275149</v>
      </c>
      <c r="F86" s="18">
        <v>8.9341530849784603E-3</v>
      </c>
      <c r="G86" s="18">
        <v>0.50555555555555554</v>
      </c>
      <c r="H86" s="18">
        <v>0</v>
      </c>
      <c r="I86" s="18"/>
      <c r="J86" s="18"/>
      <c r="K86" s="18">
        <f t="shared" si="22"/>
        <v>0.51674323379618436</v>
      </c>
      <c r="L86" s="18">
        <f t="shared" si="24"/>
        <v>0.4945393894647705</v>
      </c>
      <c r="M86" s="18"/>
      <c r="N86" s="18"/>
    </row>
    <row r="87" spans="1:14">
      <c r="A87" s="13">
        <v>84</v>
      </c>
      <c r="B87">
        <v>42.5</v>
      </c>
      <c r="C87" s="5">
        <v>60279</v>
      </c>
      <c r="D87" s="18">
        <v>0.47434415945888991</v>
      </c>
      <c r="E87" s="18">
        <v>0.4896309584163458</v>
      </c>
      <c r="F87" s="18">
        <v>8.7916116448463408E-3</v>
      </c>
      <c r="G87" s="18">
        <v>0.50555555555555554</v>
      </c>
      <c r="H87" s="18">
        <v>0</v>
      </c>
      <c r="I87" s="18"/>
      <c r="J87" s="18"/>
      <c r="K87" s="18">
        <f t="shared" si="22"/>
        <v>0.51885152666769929</v>
      </c>
      <c r="L87" s="18">
        <f t="shared" si="24"/>
        <v>0.49235106224682412</v>
      </c>
      <c r="M87" s="18"/>
      <c r="N87" s="18"/>
    </row>
    <row r="88" spans="1:14">
      <c r="A88" s="13">
        <v>85</v>
      </c>
      <c r="B88">
        <v>43</v>
      </c>
      <c r="C88" s="5">
        <v>60461</v>
      </c>
      <c r="D88" s="18">
        <v>0.47139160614948861</v>
      </c>
      <c r="E88" s="18">
        <v>0.48749599328334481</v>
      </c>
      <c r="F88" s="18">
        <v>8.6626516188248893E-3</v>
      </c>
      <c r="G88" s="18">
        <v>0.50555555555555554</v>
      </c>
      <c r="H88" s="18">
        <v>0</v>
      </c>
      <c r="I88" s="18"/>
      <c r="J88" s="18"/>
      <c r="K88" s="18">
        <f t="shared" si="22"/>
        <v>0.52091596341586666</v>
      </c>
      <c r="L88" s="18">
        <f t="shared" si="24"/>
        <v>0.49020423649362255</v>
      </c>
      <c r="M88" s="18"/>
      <c r="N88" s="18"/>
    </row>
    <row r="89" spans="1:14">
      <c r="A89" s="13">
        <v>86</v>
      </c>
      <c r="B89">
        <v>43.5</v>
      </c>
      <c r="C89" s="5">
        <v>60644</v>
      </c>
      <c r="D89" s="18">
        <v>0.46846995448104201</v>
      </c>
      <c r="E89" s="18">
        <v>0.48538748473141352</v>
      </c>
      <c r="F89" s="18">
        <v>8.5453174166054604E-3</v>
      </c>
      <c r="G89" s="18">
        <v>0.5083333333333333</v>
      </c>
      <c r="H89" s="18">
        <v>0</v>
      </c>
      <c r="I89" s="18"/>
      <c r="J89" s="18"/>
      <c r="K89" s="18">
        <f t="shared" si="22"/>
        <v>0.5229509358503015</v>
      </c>
      <c r="L89" s="18">
        <f t="shared" si="24"/>
        <v>0.4880840629280716</v>
      </c>
      <c r="M89" s="18"/>
      <c r="N89" s="18"/>
    </row>
    <row r="90" spans="1:14">
      <c r="A90" s="13">
        <v>87</v>
      </c>
      <c r="B90">
        <v>44</v>
      </c>
      <c r="C90" s="5">
        <v>60825</v>
      </c>
      <c r="D90" s="18">
        <v>0.46562578064583421</v>
      </c>
      <c r="E90" s="18">
        <v>0.48333624725846241</v>
      </c>
      <c r="F90" s="18">
        <v>8.4409339494139791E-3</v>
      </c>
      <c r="G90" s="18">
        <v>0.50277777777777777</v>
      </c>
      <c r="H90" s="18">
        <v>0</v>
      </c>
      <c r="I90" s="18"/>
      <c r="J90" s="18"/>
      <c r="K90" s="18">
        <f t="shared" si="22"/>
        <v>0.52492701162581046</v>
      </c>
      <c r="L90" s="18">
        <f t="shared" si="24"/>
        <v>0.48602142977142504</v>
      </c>
      <c r="M90" s="18"/>
      <c r="N90" s="18"/>
    </row>
    <row r="91" spans="1:14">
      <c r="A91" s="13">
        <v>88</v>
      </c>
      <c r="B91">
        <v>44.5</v>
      </c>
      <c r="C91" s="5">
        <v>61009</v>
      </c>
      <c r="D91" s="18">
        <v>0.46277995896916652</v>
      </c>
      <c r="E91" s="18">
        <v>0.48128244372266532</v>
      </c>
      <c r="F91" s="18">
        <v>8.3491748309134205E-3</v>
      </c>
      <c r="G91" s="18">
        <v>0.51111111111111107</v>
      </c>
      <c r="H91" s="18">
        <v>0</v>
      </c>
      <c r="I91" s="18"/>
      <c r="J91" s="18"/>
      <c r="K91" s="18">
        <f t="shared" si="22"/>
        <v>0.52690185847182291</v>
      </c>
      <c r="L91" s="18">
        <f t="shared" si="24"/>
        <v>0.48395621629612801</v>
      </c>
      <c r="M91" s="18"/>
      <c r="N91" s="18"/>
    </row>
    <row r="92" spans="1:14">
      <c r="A92" s="13">
        <v>89</v>
      </c>
      <c r="B92">
        <v>45</v>
      </c>
      <c r="C92" s="5">
        <v>61190</v>
      </c>
      <c r="D92" s="18">
        <v>0.46002438942535051</v>
      </c>
      <c r="E92" s="18">
        <v>0.47928971420650379</v>
      </c>
      <c r="F92" s="18">
        <v>8.2694032527044995E-3</v>
      </c>
      <c r="G92" s="18">
        <v>0.50277777777777777</v>
      </c>
      <c r="H92" s="18">
        <v>0</v>
      </c>
      <c r="I92" s="18"/>
      <c r="J92" s="18"/>
      <c r="K92" s="18">
        <f t="shared" si="22"/>
        <v>0.5288144890828923</v>
      </c>
      <c r="L92" s="18">
        <f t="shared" si="24"/>
        <v>0.4819524161381924</v>
      </c>
      <c r="M92" s="18"/>
      <c r="N92" s="18"/>
    </row>
    <row r="93" spans="1:14">
      <c r="A93" s="13">
        <v>90</v>
      </c>
      <c r="B93">
        <v>45.5</v>
      </c>
      <c r="C93" s="5">
        <v>61374</v>
      </c>
      <c r="D93" s="18">
        <v>0.45726682763226401</v>
      </c>
      <c r="E93" s="18">
        <v>0.47728865240006779</v>
      </c>
      <c r="F93" s="18">
        <v>8.2028368073458306E-3</v>
      </c>
      <c r="G93" s="18">
        <v>0.51111111111111107</v>
      </c>
      <c r="H93" s="18">
        <v>0</v>
      </c>
      <c r="I93" s="18"/>
      <c r="J93" s="18"/>
      <c r="K93" s="18">
        <f t="shared" si="22"/>
        <v>0.53073160816695997</v>
      </c>
      <c r="L93" s="18">
        <f t="shared" si="24"/>
        <v>0.47994023739980579</v>
      </c>
      <c r="M93" s="18"/>
      <c r="N93" s="18"/>
    </row>
    <row r="94" spans="1:14">
      <c r="A94" s="13">
        <v>91</v>
      </c>
      <c r="B94">
        <v>46</v>
      </c>
      <c r="C94" s="5">
        <v>61556</v>
      </c>
      <c r="D94" s="18">
        <v>0.45458169239949059</v>
      </c>
      <c r="E94" s="18">
        <v>0.47533058089557279</v>
      </c>
      <c r="F94" s="18">
        <v>8.1482417208092097E-3</v>
      </c>
      <c r="G94" s="18">
        <v>0.50555555555555554</v>
      </c>
      <c r="H94" s="18">
        <v>0</v>
      </c>
      <c r="I94" s="18"/>
      <c r="J94" s="18"/>
      <c r="K94" s="18">
        <f t="shared" si="22"/>
        <v>0.53260420693112009</v>
      </c>
      <c r="L94" s="18">
        <f t="shared" si="24"/>
        <v>0.4779712877966934</v>
      </c>
      <c r="M94" s="18"/>
      <c r="N94" s="18"/>
    </row>
    <row r="95" spans="1:14">
      <c r="A95" s="13">
        <v>92</v>
      </c>
      <c r="B95">
        <v>46.5</v>
      </c>
      <c r="C95" s="5">
        <v>61742</v>
      </c>
      <c r="D95" s="18">
        <v>0.45188028198482799</v>
      </c>
      <c r="E95" s="18">
        <v>0.47334797928999178</v>
      </c>
      <c r="F95" s="18">
        <v>8.1067071119907304E-3</v>
      </c>
      <c r="G95" s="18">
        <v>0.51666666666666672</v>
      </c>
      <c r="H95" s="18">
        <v>0</v>
      </c>
      <c r="I95" s="18"/>
      <c r="J95" s="18"/>
      <c r="K95" s="18">
        <f t="shared" si="22"/>
        <v>0.53449689183058302</v>
      </c>
      <c r="L95" s="18">
        <f t="shared" si="24"/>
        <v>0.47597767181511302</v>
      </c>
      <c r="M95" s="18"/>
      <c r="N95" s="18"/>
    </row>
    <row r="96" spans="1:14">
      <c r="A96" s="13">
        <v>93</v>
      </c>
      <c r="B96">
        <v>47</v>
      </c>
      <c r="C96" s="5">
        <v>61921</v>
      </c>
      <c r="D96" s="18">
        <v>0.44932051302385029</v>
      </c>
      <c r="E96" s="18">
        <v>0.47145456425612797</v>
      </c>
      <c r="F96" s="18">
        <v>8.0772026974377208E-3</v>
      </c>
      <c r="G96" s="18">
        <v>0.49722222222222218</v>
      </c>
      <c r="H96" s="18">
        <v>0</v>
      </c>
      <c r="I96" s="18"/>
      <c r="J96" s="18"/>
      <c r="K96" s="18">
        <f t="shared" si="22"/>
        <v>0.53630143700254429</v>
      </c>
      <c r="L96" s="18">
        <f t="shared" si="24"/>
        <v>0.47407371371296186</v>
      </c>
      <c r="M96" s="18"/>
      <c r="N96" s="18"/>
    </row>
    <row r="97" spans="1:17">
      <c r="A97" s="13">
        <v>94</v>
      </c>
      <c r="B97">
        <v>47.5</v>
      </c>
      <c r="C97" s="5">
        <v>62106</v>
      </c>
      <c r="D97" s="18">
        <v>0.44671531179977891</v>
      </c>
      <c r="E97" s="18">
        <v>0.46950955127735849</v>
      </c>
      <c r="F97" s="18">
        <v>8.0613698071773897E-3</v>
      </c>
      <c r="G97" s="18">
        <v>0.51388888888888884</v>
      </c>
      <c r="H97" s="18">
        <v>0</v>
      </c>
      <c r="I97" s="18"/>
      <c r="J97" s="18"/>
      <c r="K97" s="18">
        <f t="shared" si="22"/>
        <v>0.53815202146222518</v>
      </c>
      <c r="L97" s="18">
        <f t="shared" si="24"/>
        <v>0.47211789528214437</v>
      </c>
      <c r="M97" s="18"/>
      <c r="N97" s="18"/>
    </row>
    <row r="98" spans="1:17">
      <c r="A98" s="13">
        <v>95</v>
      </c>
      <c r="B98">
        <v>48</v>
      </c>
      <c r="C98" s="5">
        <v>62288</v>
      </c>
      <c r="D98" s="18">
        <v>0.44419159681857179</v>
      </c>
      <c r="E98" s="18">
        <v>0.46760479806134042</v>
      </c>
      <c r="F98" s="18">
        <v>8.0573247742801099E-3</v>
      </c>
      <c r="G98" s="18">
        <v>0.50555555555555554</v>
      </c>
      <c r="H98" s="18">
        <v>0</v>
      </c>
      <c r="I98" s="18"/>
      <c r="J98" s="18"/>
      <c r="K98" s="18">
        <f t="shared" si="22"/>
        <v>0.5399614027518872</v>
      </c>
      <c r="L98" s="18">
        <f t="shared" si="24"/>
        <v>0.47020256027579188</v>
      </c>
      <c r="M98" s="18"/>
      <c r="N98" s="18"/>
    </row>
    <row r="99" spans="1:17">
      <c r="A99" s="13">
        <v>96</v>
      </c>
      <c r="B99">
        <v>48.5</v>
      </c>
      <c r="C99" s="5">
        <v>62470</v>
      </c>
      <c r="D99" s="18">
        <v>0.44170601590680081</v>
      </c>
      <c r="E99" s="18">
        <v>0.46570569634089187</v>
      </c>
      <c r="F99" s="18">
        <v>8.0664530618313798E-3</v>
      </c>
      <c r="G99" s="18">
        <v>0.50555555555555554</v>
      </c>
      <c r="H99" s="18">
        <v>0</v>
      </c>
      <c r="I99" s="18"/>
      <c r="J99" s="18"/>
      <c r="K99" s="18">
        <f t="shared" si="22"/>
        <v>0.54176269762324336</v>
      </c>
      <c r="L99" s="18">
        <f t="shared" si="24"/>
        <v>0.46829284325480913</v>
      </c>
      <c r="M99" s="18"/>
      <c r="N99" s="18"/>
      <c r="P99" s="5">
        <v>59364</v>
      </c>
      <c r="Q99" s="18">
        <f>M82</f>
        <v>0.50384918952720503</v>
      </c>
    </row>
    <row r="100" spans="1:17">
      <c r="A100" s="13">
        <v>97</v>
      </c>
      <c r="B100">
        <v>49</v>
      </c>
      <c r="C100" s="5">
        <v>62652</v>
      </c>
      <c r="D100" s="18">
        <v>0.4392578039092318</v>
      </c>
      <c r="E100" s="18">
        <v>0.46380931440043982</v>
      </c>
      <c r="F100" s="18">
        <v>8.0875589180164006E-3</v>
      </c>
      <c r="G100" s="18">
        <v>0.50555555555555554</v>
      </c>
      <c r="H100" s="18">
        <v>0</v>
      </c>
      <c r="I100" s="18"/>
      <c r="J100" s="18"/>
      <c r="K100" s="18">
        <f t="shared" ref="K100:K122" si="25">K99+(F100*G100*D100)</f>
        <v>0.54355869554884118</v>
      </c>
      <c r="L100" s="18">
        <f t="shared" si="24"/>
        <v>0.46638592629465803</v>
      </c>
      <c r="M100" s="18"/>
      <c r="N100" s="18"/>
      <c r="P100" s="5">
        <v>66670</v>
      </c>
      <c r="Q100" s="18">
        <f>M122</f>
        <v>0.42846853462651702</v>
      </c>
    </row>
    <row r="101" spans="1:17">
      <c r="A101" s="13">
        <v>98</v>
      </c>
      <c r="B101">
        <v>49.5</v>
      </c>
      <c r="C101" s="5">
        <v>62835</v>
      </c>
      <c r="D101" s="18">
        <v>0.43683305994826649</v>
      </c>
      <c r="E101" s="18">
        <v>0.46190234191945129</v>
      </c>
      <c r="F101" s="18">
        <v>8.1218840242567106E-3</v>
      </c>
      <c r="G101" s="18">
        <v>0.5083333333333333</v>
      </c>
      <c r="H101" s="18">
        <v>0</v>
      </c>
      <c r="I101" s="18"/>
      <c r="J101" s="18"/>
      <c r="K101" s="18">
        <f t="shared" si="25"/>
        <v>0.54536221516969552</v>
      </c>
      <c r="L101" s="18">
        <f>(L102*(H102/100*J102-K101+D102))/D102</f>
        <v>0.46446831110217002</v>
      </c>
      <c r="M101" s="18"/>
      <c r="N101" s="18"/>
      <c r="P101" s="5"/>
      <c r="Q101" s="18"/>
    </row>
    <row r="102" spans="1:17">
      <c r="A102" s="13">
        <v>99</v>
      </c>
      <c r="B102">
        <v>50</v>
      </c>
      <c r="C102" s="5">
        <v>63017</v>
      </c>
      <c r="D102" s="18">
        <v>0.43445754508781198</v>
      </c>
      <c r="E102" s="18">
        <v>0.46000277084258262</v>
      </c>
      <c r="F102" s="18">
        <v>8.1681971871145394E-3</v>
      </c>
      <c r="G102" s="18">
        <v>0.50555555555555554</v>
      </c>
      <c r="H102" s="18">
        <v>1.6889750933175893</v>
      </c>
      <c r="I102" s="18">
        <v>0.99722222222222223</v>
      </c>
      <c r="J102" s="18">
        <v>32.129337357042132</v>
      </c>
      <c r="K102" s="18">
        <f t="shared" si="25"/>
        <v>0.54715629781242514</v>
      </c>
      <c r="L102" s="18">
        <f t="shared" ref="L102:L120" si="26">L103*(1+F103*G103)</f>
        <v>0.46737904881501269</v>
      </c>
      <c r="M102" s="18"/>
      <c r="N102" s="18">
        <f>Q102</f>
        <v>0.46615886207686102</v>
      </c>
      <c r="P102" s="5">
        <v>63017</v>
      </c>
      <c r="Q102" s="18" cm="1">
        <f t="array" ref="Q102">interpolate(P99:P100,Q99:Q100,P102,"Natural Cubic Spline")</f>
        <v>0.46615886207686102</v>
      </c>
    </row>
    <row r="103" spans="1:17">
      <c r="A103" s="13">
        <v>100</v>
      </c>
      <c r="B103">
        <v>50.5</v>
      </c>
      <c r="C103" s="5">
        <v>63201</v>
      </c>
      <c r="D103" s="18">
        <v>0.43209151992901568</v>
      </c>
      <c r="E103" s="18">
        <v>0.45807702898065161</v>
      </c>
      <c r="F103" s="18">
        <v>8.2251577321086899E-3</v>
      </c>
      <c r="G103" s="18">
        <v>0.51111111111111107</v>
      </c>
      <c r="H103" s="18">
        <v>0</v>
      </c>
      <c r="I103" s="18"/>
      <c r="J103" s="18"/>
      <c r="K103" s="18">
        <f t="shared" si="25"/>
        <v>0.5489727973866656</v>
      </c>
      <c r="L103" s="18">
        <f t="shared" si="26"/>
        <v>0.46542242712326948</v>
      </c>
      <c r="M103" s="18"/>
      <c r="N103" s="18"/>
      <c r="P103" s="5">
        <v>66488</v>
      </c>
      <c r="Q103" s="18" cm="1">
        <f t="array" ref="Q103">interpolate(P99:P100,Q99:Q100,P103,"Natural Cubic Spline")</f>
        <v>0.43034634453507509</v>
      </c>
    </row>
    <row r="104" spans="1:17">
      <c r="A104" s="13">
        <v>101</v>
      </c>
      <c r="B104">
        <v>51</v>
      </c>
      <c r="C104" s="5">
        <v>63382</v>
      </c>
      <c r="D104" s="18">
        <v>0.42979759775090948</v>
      </c>
      <c r="E104" s="18">
        <v>0.45617770642395977</v>
      </c>
      <c r="F104" s="18">
        <v>8.2811107833842199E-3</v>
      </c>
      <c r="G104" s="18">
        <v>0.50277777777777777</v>
      </c>
      <c r="H104" s="18">
        <v>0</v>
      </c>
      <c r="I104" s="18"/>
      <c r="J104" s="18"/>
      <c r="K104" s="18">
        <f t="shared" si="25"/>
        <v>0.55076228481826228</v>
      </c>
      <c r="L104" s="18">
        <f t="shared" si="26"/>
        <v>0.4634926483779947</v>
      </c>
      <c r="M104" s="18"/>
      <c r="N104" s="18"/>
    </row>
    <row r="105" spans="1:17">
      <c r="A105" s="13">
        <v>102</v>
      </c>
      <c r="B105">
        <v>51.5</v>
      </c>
      <c r="C105" s="5">
        <v>63566</v>
      </c>
      <c r="D105" s="18">
        <v>0.42749820729406318</v>
      </c>
      <c r="E105" s="18">
        <v>0.45424265881200709</v>
      </c>
      <c r="F105" s="18">
        <v>8.3346701275028908E-3</v>
      </c>
      <c r="G105" s="18">
        <v>0.51111111111111107</v>
      </c>
      <c r="H105" s="18">
        <v>0</v>
      </c>
      <c r="I105" s="18"/>
      <c r="J105" s="18"/>
      <c r="K105" s="18">
        <f t="shared" si="25"/>
        <v>0.55258340260429739</v>
      </c>
      <c r="L105" s="18">
        <f t="shared" si="26"/>
        <v>0.46152657171582667</v>
      </c>
      <c r="M105" s="18"/>
      <c r="N105" s="18"/>
    </row>
    <row r="106" spans="1:17">
      <c r="A106" s="13">
        <v>103</v>
      </c>
      <c r="B106">
        <v>52</v>
      </c>
      <c r="C106" s="5">
        <v>63747</v>
      </c>
      <c r="D106" s="18">
        <v>0.42526686220753063</v>
      </c>
      <c r="E106" s="18">
        <v>0.45233577293794869</v>
      </c>
      <c r="F106" s="18">
        <v>8.3847031627381999E-3</v>
      </c>
      <c r="G106" s="18">
        <v>0.50277777777777777</v>
      </c>
      <c r="H106" s="18">
        <v>0</v>
      </c>
      <c r="I106" s="18"/>
      <c r="J106" s="18"/>
      <c r="K106" s="18">
        <f t="shared" si="25"/>
        <v>0.55437617562992303</v>
      </c>
      <c r="L106" s="18">
        <f t="shared" si="26"/>
        <v>0.45958910837319567</v>
      </c>
      <c r="M106" s="18"/>
      <c r="N106" s="18"/>
    </row>
    <row r="107" spans="1:17">
      <c r="A107" s="13">
        <v>104</v>
      </c>
      <c r="B107">
        <v>52.5</v>
      </c>
      <c r="C107" s="5">
        <v>63933</v>
      </c>
      <c r="D107" s="18">
        <v>0.42300395048401113</v>
      </c>
      <c r="E107" s="18">
        <v>0.45037351900654238</v>
      </c>
      <c r="F107" s="18">
        <v>8.4328022734497608E-3</v>
      </c>
      <c r="G107" s="18">
        <v>0.51666666666666672</v>
      </c>
      <c r="H107" s="18">
        <v>0</v>
      </c>
      <c r="I107" s="18"/>
      <c r="J107" s="18"/>
      <c r="K107" s="18">
        <f t="shared" si="25"/>
        <v>0.55621918177883822</v>
      </c>
      <c r="L107" s="18">
        <f t="shared" si="26"/>
        <v>0.45759538913034342</v>
      </c>
      <c r="M107" s="18"/>
      <c r="N107" s="18"/>
    </row>
    <row r="108" spans="1:17">
      <c r="A108" s="13">
        <v>105</v>
      </c>
      <c r="B108">
        <v>53</v>
      </c>
      <c r="C108" s="5">
        <v>64112</v>
      </c>
      <c r="D108" s="18">
        <v>0.42085359185350152</v>
      </c>
      <c r="E108" s="18">
        <v>0.44848329287351291</v>
      </c>
      <c r="F108" s="18">
        <v>8.4771553101963201E-3</v>
      </c>
      <c r="G108" s="18">
        <v>0.49722222222222218</v>
      </c>
      <c r="H108" s="18">
        <v>0</v>
      </c>
      <c r="I108" s="18"/>
      <c r="J108" s="18"/>
      <c r="K108" s="18">
        <f t="shared" si="25"/>
        <v>0.55799309229472238</v>
      </c>
      <c r="L108" s="18">
        <f t="shared" si="26"/>
        <v>0.45567470657123976</v>
      </c>
      <c r="M108" s="18"/>
      <c r="N108" s="18"/>
    </row>
    <row r="109" spans="1:17">
      <c r="A109" s="13">
        <v>106</v>
      </c>
      <c r="B109">
        <v>53.5</v>
      </c>
      <c r="C109" s="5">
        <v>64297</v>
      </c>
      <c r="D109" s="18">
        <v>0.41865796586185228</v>
      </c>
      <c r="E109" s="18">
        <v>0.44652860355843721</v>
      </c>
      <c r="F109" s="18">
        <v>8.5184234961502292E-3</v>
      </c>
      <c r="G109" s="18">
        <v>0.51388888888888884</v>
      </c>
      <c r="H109" s="18">
        <v>0</v>
      </c>
      <c r="I109" s="18"/>
      <c r="J109" s="18"/>
      <c r="K109" s="18">
        <f t="shared" si="25"/>
        <v>0.55982577724708593</v>
      </c>
      <c r="L109" s="18">
        <f t="shared" si="26"/>
        <v>0.45368867388231138</v>
      </c>
      <c r="M109" s="18"/>
      <c r="N109" s="18"/>
    </row>
    <row r="110" spans="1:17">
      <c r="A110" s="13">
        <v>107</v>
      </c>
      <c r="B110">
        <v>54</v>
      </c>
      <c r="C110" s="5">
        <v>64479</v>
      </c>
      <c r="D110" s="18">
        <v>0.41652316909722831</v>
      </c>
      <c r="E110" s="18">
        <v>0.44460526621556679</v>
      </c>
      <c r="F110" s="18">
        <v>8.5568116809111999E-3</v>
      </c>
      <c r="G110" s="18">
        <v>0.50555555555555554</v>
      </c>
      <c r="H110" s="18">
        <v>0</v>
      </c>
      <c r="I110" s="18"/>
      <c r="J110" s="18"/>
      <c r="K110" s="18">
        <f t="shared" si="25"/>
        <v>0.56162763301931828</v>
      </c>
      <c r="L110" s="18">
        <f t="shared" si="26"/>
        <v>0.45173449589335085</v>
      </c>
      <c r="M110" s="18"/>
      <c r="N110" s="18"/>
    </row>
    <row r="111" spans="1:17">
      <c r="A111" s="13">
        <v>108</v>
      </c>
      <c r="B111">
        <v>54.5</v>
      </c>
      <c r="C111" s="5">
        <v>64662</v>
      </c>
      <c r="D111" s="18">
        <v>0.41440051403291073</v>
      </c>
      <c r="E111" s="18">
        <v>0.44267175799546321</v>
      </c>
      <c r="F111" s="18">
        <v>8.5926166609796902E-3</v>
      </c>
      <c r="G111" s="18">
        <v>0.5083333333333333</v>
      </c>
      <c r="H111" s="18">
        <v>0</v>
      </c>
      <c r="I111" s="18"/>
      <c r="J111" s="18"/>
      <c r="K111" s="18">
        <f t="shared" si="25"/>
        <v>0.56343769860626047</v>
      </c>
      <c r="L111" s="18">
        <f t="shared" si="26"/>
        <v>0.44976993971556689</v>
      </c>
      <c r="M111" s="18"/>
      <c r="N111" s="18"/>
    </row>
    <row r="112" spans="1:17">
      <c r="A112" s="13">
        <v>109</v>
      </c>
      <c r="B112">
        <v>55</v>
      </c>
      <c r="C112" s="5">
        <v>64843</v>
      </c>
      <c r="D112" s="18">
        <v>0.41232330304732701</v>
      </c>
      <c r="E112" s="18">
        <v>0.4407604879776853</v>
      </c>
      <c r="F112" s="18">
        <v>8.6246864987292293E-3</v>
      </c>
      <c r="G112" s="18">
        <v>0.50277777777777777</v>
      </c>
      <c r="H112" s="18">
        <v>0</v>
      </c>
      <c r="I112" s="18"/>
      <c r="J112" s="18"/>
      <c r="K112" s="18">
        <f t="shared" si="25"/>
        <v>0.56522565643878153</v>
      </c>
      <c r="L112" s="18">
        <f t="shared" si="26"/>
        <v>0.44782802274176048</v>
      </c>
      <c r="M112" s="18"/>
      <c r="N112" s="18"/>
    </row>
    <row r="113" spans="1:14">
      <c r="A113" s="13">
        <v>110</v>
      </c>
      <c r="B113">
        <v>55.5</v>
      </c>
      <c r="C113" s="5">
        <v>65027</v>
      </c>
      <c r="D113" s="18">
        <v>0.41023303462068861</v>
      </c>
      <c r="E113" s="18">
        <v>0.43881938792169117</v>
      </c>
      <c r="F113" s="18">
        <v>8.6545958585986602E-3</v>
      </c>
      <c r="G113" s="18">
        <v>0.51111111111111107</v>
      </c>
      <c r="H113" s="18">
        <v>0</v>
      </c>
      <c r="I113" s="18"/>
      <c r="J113" s="18"/>
      <c r="K113" s="18">
        <f t="shared" si="25"/>
        <v>0.56704030590138677</v>
      </c>
      <c r="L113" s="18">
        <f t="shared" si="26"/>
        <v>0.44585579740911269</v>
      </c>
      <c r="M113" s="18"/>
      <c r="N113" s="18"/>
    </row>
    <row r="114" spans="1:14">
      <c r="A114" s="13">
        <v>111</v>
      </c>
      <c r="B114">
        <v>56</v>
      </c>
      <c r="C114" s="5">
        <v>65208</v>
      </c>
      <c r="D114" s="18">
        <v>0.40819661459807471</v>
      </c>
      <c r="E114" s="18">
        <v>0.43691244865275902</v>
      </c>
      <c r="F114" s="18">
        <v>8.6809322952843097E-3</v>
      </c>
      <c r="G114" s="18">
        <v>0.50277777777777777</v>
      </c>
      <c r="H114" s="18">
        <v>0</v>
      </c>
      <c r="I114" s="18"/>
      <c r="J114" s="18"/>
      <c r="K114" s="18">
        <f t="shared" si="25"/>
        <v>0.56882191261967208</v>
      </c>
      <c r="L114" s="18">
        <f t="shared" si="26"/>
        <v>0.44391828062712346</v>
      </c>
      <c r="M114" s="18"/>
      <c r="N114" s="18"/>
    </row>
    <row r="115" spans="1:14">
      <c r="A115" s="13">
        <v>112</v>
      </c>
      <c r="B115">
        <v>56.5</v>
      </c>
      <c r="C115" s="5">
        <v>65392</v>
      </c>
      <c r="D115" s="18">
        <v>0.40614527843017612</v>
      </c>
      <c r="E115" s="18">
        <v>0.43497715428004807</v>
      </c>
      <c r="F115" s="18">
        <v>8.7049296142755594E-3</v>
      </c>
      <c r="G115" s="18">
        <v>0.51111111111111107</v>
      </c>
      <c r="H115" s="18">
        <v>0</v>
      </c>
      <c r="I115" s="18"/>
      <c r="J115" s="18"/>
      <c r="K115" s="18">
        <f t="shared" si="25"/>
        <v>0.57062892860686798</v>
      </c>
      <c r="L115" s="18">
        <f t="shared" si="26"/>
        <v>0.44195195407110455</v>
      </c>
      <c r="M115" s="18"/>
      <c r="N115" s="18"/>
    </row>
    <row r="116" spans="1:14">
      <c r="A116" s="13">
        <v>113</v>
      </c>
      <c r="B116">
        <v>57</v>
      </c>
      <c r="C116" s="5">
        <v>65573</v>
      </c>
      <c r="D116" s="18">
        <v>0.40414470883480152</v>
      </c>
      <c r="E116" s="18">
        <v>0.43307728307130727</v>
      </c>
      <c r="F116" s="18">
        <v>8.7253465216486307E-3</v>
      </c>
      <c r="G116" s="18">
        <v>0.50277777777777777</v>
      </c>
      <c r="H116" s="18">
        <v>0</v>
      </c>
      <c r="I116" s="18"/>
      <c r="J116" s="18"/>
      <c r="K116" s="18">
        <f t="shared" si="25"/>
        <v>0.57240187520668706</v>
      </c>
      <c r="L116" s="18">
        <f t="shared" si="26"/>
        <v>0.44002161868469519</v>
      </c>
      <c r="M116" s="18"/>
      <c r="N116" s="18"/>
    </row>
    <row r="117" spans="1:14">
      <c r="A117" s="13">
        <v>114</v>
      </c>
      <c r="B117">
        <v>57.5</v>
      </c>
      <c r="C117" s="5">
        <v>65757</v>
      </c>
      <c r="D117" s="18">
        <v>0.40212737607779281</v>
      </c>
      <c r="E117" s="18">
        <v>0.43115052977559809</v>
      </c>
      <c r="F117" s="18">
        <v>8.7434305391164303E-3</v>
      </c>
      <c r="G117" s="18">
        <v>0.51111111111111107</v>
      </c>
      <c r="H117" s="18">
        <v>0</v>
      </c>
      <c r="I117" s="18"/>
      <c r="J117" s="18"/>
      <c r="K117" s="18">
        <f t="shared" si="25"/>
        <v>0.57419892796122274</v>
      </c>
      <c r="L117" s="18">
        <f t="shared" si="26"/>
        <v>0.43806397016069165</v>
      </c>
      <c r="M117" s="18"/>
      <c r="N117" s="18"/>
    </row>
    <row r="118" spans="1:14">
      <c r="A118" s="13">
        <v>115</v>
      </c>
      <c r="B118">
        <v>58</v>
      </c>
      <c r="C118" s="5">
        <v>65939</v>
      </c>
      <c r="D118" s="18">
        <v>0.40014705654540328</v>
      </c>
      <c r="E118" s="18">
        <v>0.42924994370055652</v>
      </c>
      <c r="F118" s="18">
        <v>8.7580699374005203E-3</v>
      </c>
      <c r="G118" s="18">
        <v>0.50555555555555554</v>
      </c>
      <c r="H118" s="18">
        <v>0</v>
      </c>
      <c r="I118" s="18"/>
      <c r="J118" s="18"/>
      <c r="K118" s="18">
        <f t="shared" si="25"/>
        <v>0.57597065544727122</v>
      </c>
      <c r="L118" s="18">
        <f t="shared" si="26"/>
        <v>0.43613290844519714</v>
      </c>
      <c r="M118" s="18"/>
      <c r="N118" s="18"/>
    </row>
    <row r="119" spans="1:14">
      <c r="A119" s="13">
        <v>116</v>
      </c>
      <c r="B119">
        <v>58.5</v>
      </c>
      <c r="C119" s="5">
        <v>66124</v>
      </c>
      <c r="D119" s="18">
        <v>0.39814828570278787</v>
      </c>
      <c r="E119" s="18">
        <v>0.42732401412408821</v>
      </c>
      <c r="F119" s="18">
        <v>8.77028841729857E-3</v>
      </c>
      <c r="G119" s="18">
        <v>0.51388888888888884</v>
      </c>
      <c r="H119" s="18">
        <v>0</v>
      </c>
      <c r="I119" s="18"/>
      <c r="J119" s="18"/>
      <c r="K119" s="18">
        <f t="shared" si="25"/>
        <v>0.57776509136453869</v>
      </c>
      <c r="L119" s="18">
        <f t="shared" si="26"/>
        <v>0.43417609684866088</v>
      </c>
      <c r="M119" s="18"/>
      <c r="N119" s="18"/>
    </row>
    <row r="120" spans="1:14">
      <c r="A120" s="13">
        <v>117</v>
      </c>
      <c r="B120">
        <v>59</v>
      </c>
      <c r="C120" s="5">
        <v>66306</v>
      </c>
      <c r="D120" s="18">
        <v>0.39619474870736199</v>
      </c>
      <c r="E120" s="18">
        <v>0.42543583897085763</v>
      </c>
      <c r="F120" s="18">
        <v>8.7788841684794394E-3</v>
      </c>
      <c r="G120" s="18">
        <v>0.50555555555555554</v>
      </c>
      <c r="H120" s="18">
        <v>0</v>
      </c>
      <c r="I120" s="18"/>
      <c r="J120" s="18"/>
      <c r="K120" s="18">
        <f t="shared" si="25"/>
        <v>0.57952348831144218</v>
      </c>
      <c r="L120" s="18">
        <f t="shared" si="26"/>
        <v>0.4322576450624287</v>
      </c>
      <c r="M120" s="18"/>
      <c r="N120" s="18"/>
    </row>
    <row r="121" spans="1:14">
      <c r="A121" s="13">
        <v>118</v>
      </c>
      <c r="B121">
        <v>59.5</v>
      </c>
      <c r="C121" s="5">
        <v>66488</v>
      </c>
      <c r="D121" s="18">
        <v>0.39425281878583501</v>
      </c>
      <c r="E121" s="18">
        <v>0.4235547524322909</v>
      </c>
      <c r="F121" s="18">
        <v>8.7850042128156895E-3</v>
      </c>
      <c r="G121" s="18">
        <v>0.50555555555555554</v>
      </c>
      <c r="H121" s="18">
        <v>0</v>
      </c>
      <c r="I121" s="18"/>
      <c r="J121" s="18"/>
      <c r="K121" s="18">
        <f t="shared" si="25"/>
        <v>0.58127448638549373</v>
      </c>
      <c r="L121" s="18">
        <f>(L122*(H122/100*J122-K121+D122))/D122</f>
        <v>0.43034634453507503</v>
      </c>
      <c r="M121" s="18"/>
      <c r="N121" s="18"/>
    </row>
    <row r="122" spans="1:14">
      <c r="A122" s="13">
        <v>119</v>
      </c>
      <c r="B122">
        <v>60</v>
      </c>
      <c r="C122" s="5">
        <v>66670</v>
      </c>
      <c r="D122" s="18">
        <v>0.39232141315840419</v>
      </c>
      <c r="E122" s="18">
        <v>0.42168135874896218</v>
      </c>
      <c r="F122" s="18">
        <v>8.7877109154303693E-3</v>
      </c>
      <c r="G122" s="18">
        <v>0.50555555555555554</v>
      </c>
      <c r="H122" s="18">
        <v>1.6088701485525654</v>
      </c>
      <c r="I122" s="18">
        <v>0.99722222222222223</v>
      </c>
      <c r="J122" s="18">
        <v>36.236229389371289</v>
      </c>
      <c r="K122" s="18">
        <f t="shared" si="25"/>
        <v>0.58301744334101591</v>
      </c>
      <c r="L122" s="19">
        <f>(D122*Q103)/(H122/100*J122-K121+D122)</f>
        <v>0.42846853462651702</v>
      </c>
      <c r="M122" s="19">
        <v>0.42846853462651702</v>
      </c>
      <c r="N122" s="18">
        <f>L122</f>
        <v>0.42846853462651702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2425-9FB8-4816-BCB7-55222D96430B}">
  <sheetPr codeName="Sheet11"/>
  <dimension ref="A1:W31"/>
  <sheetViews>
    <sheetView tabSelected="1" workbookViewId="0">
      <selection activeCell="R5" sqref="R5:R6"/>
    </sheetView>
  </sheetViews>
  <sheetFormatPr defaultRowHeight="14.4"/>
  <cols>
    <col min="1" max="1" width="10.77734375" bestFit="1" customWidth="1"/>
    <col min="5" max="5" width="9.5546875" bestFit="1" customWidth="1"/>
    <col min="10" max="10" width="8.88671875" style="6"/>
    <col min="19" max="19" width="10.5546875" bestFit="1" customWidth="1"/>
    <col min="22" max="23" width="10.5546875" bestFit="1" customWidth="1"/>
  </cols>
  <sheetData>
    <row r="1" spans="1:23">
      <c r="A1" s="7" t="s">
        <v>0</v>
      </c>
      <c r="B1" s="7" t="s">
        <v>8</v>
      </c>
      <c r="C1" s="7" t="s">
        <v>21</v>
      </c>
      <c r="D1" s="9" t="s">
        <v>9</v>
      </c>
      <c r="E1" s="10" t="s">
        <v>10</v>
      </c>
      <c r="F1" s="7" t="s">
        <v>11</v>
      </c>
      <c r="G1" s="7" t="s">
        <v>12</v>
      </c>
      <c r="H1" s="7" t="s">
        <v>13</v>
      </c>
      <c r="I1" s="8" t="s">
        <v>25</v>
      </c>
      <c r="J1" s="9" t="s">
        <v>14</v>
      </c>
      <c r="K1" s="2" t="s">
        <v>15</v>
      </c>
      <c r="L1" s="7" t="s">
        <v>16</v>
      </c>
      <c r="M1" s="7" t="s">
        <v>17</v>
      </c>
      <c r="N1" s="8" t="s">
        <v>18</v>
      </c>
      <c r="O1" s="8" t="s">
        <v>24</v>
      </c>
    </row>
    <row r="2" spans="1:23">
      <c r="A2" s="5">
        <v>44750</v>
      </c>
      <c r="B2" s="4">
        <v>0</v>
      </c>
      <c r="C2" s="15"/>
      <c r="I2" s="14"/>
      <c r="J2">
        <v>1</v>
      </c>
      <c r="K2">
        <v>1</v>
      </c>
      <c r="L2">
        <v>1</v>
      </c>
      <c r="M2">
        <v>1</v>
      </c>
      <c r="N2">
        <v>1</v>
      </c>
      <c r="O2" s="14">
        <v>1</v>
      </c>
    </row>
    <row r="3" spans="1:23">
      <c r="A3" s="5">
        <v>44754</v>
      </c>
      <c r="B3" s="4"/>
      <c r="C3" s="16">
        <v>1.0000444460492699</v>
      </c>
      <c r="D3">
        <v>1</v>
      </c>
      <c r="E3">
        <v>1</v>
      </c>
      <c r="F3">
        <v>1</v>
      </c>
      <c r="G3">
        <v>1</v>
      </c>
      <c r="H3">
        <v>1</v>
      </c>
      <c r="I3" s="14">
        <v>1</v>
      </c>
      <c r="J3" s="6">
        <f t="shared" ref="J3:J31" si="0">D3*$C3</f>
        <v>1.0000444460492699</v>
      </c>
      <c r="K3" s="6">
        <f t="shared" ref="K3:N3" si="1">E3*$C3</f>
        <v>1.0000444460492699</v>
      </c>
      <c r="L3" s="6">
        <f t="shared" si="1"/>
        <v>1.0000444460492699</v>
      </c>
      <c r="M3" s="6">
        <f t="shared" si="1"/>
        <v>1.0000444460492699</v>
      </c>
      <c r="N3" s="6">
        <f t="shared" si="1"/>
        <v>1.0000444460492699</v>
      </c>
      <c r="O3" s="14">
        <f t="shared" ref="O3" si="2">1*$C$4</f>
        <v>1.0000444460492699</v>
      </c>
    </row>
    <row r="4" spans="1:23">
      <c r="A4" s="5">
        <v>44938</v>
      </c>
      <c r="B4" s="21">
        <v>0.50410958904109504</v>
      </c>
      <c r="C4" s="25">
        <v>1.0000444460492699</v>
      </c>
      <c r="D4" s="20">
        <v>0.99801063568965565</v>
      </c>
      <c r="E4" s="20">
        <v>0.99801063583166416</v>
      </c>
      <c r="F4" s="20">
        <v>0.99801063583276439</v>
      </c>
      <c r="G4" s="20">
        <v>0.99801063607863671</v>
      </c>
      <c r="H4" s="20">
        <v>0.99801063657469435</v>
      </c>
      <c r="I4" s="26">
        <v>0.99801063213993446</v>
      </c>
      <c r="J4" s="27">
        <f t="shared" si="0"/>
        <v>0.99805499331954139</v>
      </c>
      <c r="K4" s="20">
        <f t="shared" ref="K4:N7" si="3">E4*$C4</f>
        <v>0.99805499346155624</v>
      </c>
      <c r="L4" s="20">
        <f t="shared" si="3"/>
        <v>0.99805499346265647</v>
      </c>
      <c r="M4" s="20">
        <f t="shared" si="3"/>
        <v>0.99805499370853978</v>
      </c>
      <c r="N4" s="20">
        <f t="shared" si="3"/>
        <v>0.99805499420461941</v>
      </c>
      <c r="O4" s="26">
        <f>$C4*I4</f>
        <v>0.99805498976966245</v>
      </c>
      <c r="V4" s="5"/>
    </row>
    <row r="5" spans="1:23">
      <c r="A5" s="5">
        <v>45119</v>
      </c>
      <c r="B5" s="21">
        <v>1</v>
      </c>
      <c r="C5" s="25">
        <v>1.0000444460492699</v>
      </c>
      <c r="D5" s="20">
        <v>0.99104479412095903</v>
      </c>
      <c r="E5" s="20">
        <v>0.99104479426123293</v>
      </c>
      <c r="F5" s="20">
        <v>0.99104479426258196</v>
      </c>
      <c r="G5" s="20">
        <v>0.99104479451023364</v>
      </c>
      <c r="H5" s="20">
        <v>0.9910448000025196</v>
      </c>
      <c r="I5" s="26">
        <v>0.99104474380986662</v>
      </c>
      <c r="J5" s="27">
        <f t="shared" si="0"/>
        <v>0.99108884214670723</v>
      </c>
      <c r="K5" s="20">
        <f t="shared" si="3"/>
        <v>0.99108884228698735</v>
      </c>
      <c r="L5" s="20">
        <f t="shared" si="3"/>
        <v>0.99108884228833638</v>
      </c>
      <c r="M5" s="20">
        <f t="shared" si="3"/>
        <v>0.99108884253599916</v>
      </c>
      <c r="N5" s="20">
        <f t="shared" si="3"/>
        <v>0.99108884802852915</v>
      </c>
      <c r="O5" s="26">
        <f t="shared" ref="O5:O31" si="4">$C5*I5</f>
        <v>0.99108879183337872</v>
      </c>
      <c r="V5" s="5"/>
    </row>
    <row r="6" spans="1:23">
      <c r="A6" s="5">
        <v>45303</v>
      </c>
      <c r="B6" s="21">
        <v>1.50410958904109</v>
      </c>
      <c r="C6" s="25">
        <v>1.0000444460492699</v>
      </c>
      <c r="D6" s="20">
        <v>0.98259758166113598</v>
      </c>
      <c r="E6" s="20">
        <v>0.98259758179911405</v>
      </c>
      <c r="F6" s="20">
        <v>0.9825975818008269</v>
      </c>
      <c r="G6" s="20">
        <v>0.98259758205153647</v>
      </c>
      <c r="H6" s="20">
        <v>0.9825975948894905</v>
      </c>
      <c r="I6" s="26">
        <v>0.98259746260138792</v>
      </c>
      <c r="J6" s="27">
        <f t="shared" si="0"/>
        <v>0.98264125424166293</v>
      </c>
      <c r="K6" s="20">
        <f t="shared" si="3"/>
        <v>0.98264125437964722</v>
      </c>
      <c r="L6" s="20">
        <f t="shared" si="3"/>
        <v>0.98264125438136007</v>
      </c>
      <c r="M6" s="20">
        <f t="shared" si="3"/>
        <v>0.98264125463208085</v>
      </c>
      <c r="N6" s="20">
        <f t="shared" si="3"/>
        <v>0.98264126747060543</v>
      </c>
      <c r="O6" s="26">
        <f t="shared" si="4"/>
        <v>0.98264113517662321</v>
      </c>
      <c r="W6" s="5"/>
    </row>
    <row r="7" spans="1:23">
      <c r="A7" s="5">
        <v>45485</v>
      </c>
      <c r="B7" s="21">
        <v>2.0027397260273898</v>
      </c>
      <c r="C7" s="25">
        <v>1.0000444460492699</v>
      </c>
      <c r="D7" s="20">
        <v>0.974447678139722</v>
      </c>
      <c r="E7" s="20">
        <v>0.97444767826643919</v>
      </c>
      <c r="F7" s="20">
        <v>0.97444767827159473</v>
      </c>
      <c r="G7" s="20">
        <v>0.97444767856768277</v>
      </c>
      <c r="H7" s="20">
        <v>0.97444775938107875</v>
      </c>
      <c r="I7" s="26">
        <v>0.97444692296927427</v>
      </c>
      <c r="J7" s="27">
        <f t="shared" si="0"/>
        <v>0.97449098848923554</v>
      </c>
      <c r="K7" s="20">
        <f t="shared" si="3"/>
        <v>0.9744909886159584</v>
      </c>
      <c r="L7" s="20">
        <f t="shared" si="3"/>
        <v>0.97449098862111416</v>
      </c>
      <c r="M7" s="20">
        <f t="shared" si="3"/>
        <v>0.97449098891721531</v>
      </c>
      <c r="N7" s="20">
        <f t="shared" si="3"/>
        <v>0.97449106973420319</v>
      </c>
      <c r="O7" s="26">
        <f t="shared" si="4"/>
        <v>0.97449023328522344</v>
      </c>
      <c r="W7" s="5"/>
    </row>
    <row r="8" spans="1:23">
      <c r="A8" s="5">
        <v>45852</v>
      </c>
      <c r="B8" s="21">
        <v>3.0082191780821899</v>
      </c>
      <c r="C8" s="25">
        <v>1.0000444460492699</v>
      </c>
      <c r="D8" s="20">
        <v>0.95722194626287549</v>
      </c>
      <c r="E8" s="20">
        <v>0.95722194635891811</v>
      </c>
      <c r="F8" s="20">
        <v>0.95722194637375746</v>
      </c>
      <c r="G8" s="20">
        <v>0.9572219467985752</v>
      </c>
      <c r="H8" s="20">
        <v>0.95722221956887421</v>
      </c>
      <c r="I8" s="26">
        <v>0.95729638500968794</v>
      </c>
      <c r="J8" s="27">
        <f t="shared" si="0"/>
        <v>0.95726449099666133</v>
      </c>
      <c r="K8" s="20">
        <f t="shared" ref="K8:K31" si="5">E8*$C8</f>
        <v>0.95726449109270817</v>
      </c>
      <c r="L8" s="20">
        <f t="shared" ref="L8:L31" si="6">F8*$C8</f>
        <v>0.95726449110754819</v>
      </c>
      <c r="M8" s="20">
        <f t="shared" ref="M8:M31" si="7">G8*$C8</f>
        <v>0.9572644915323848</v>
      </c>
      <c r="N8" s="20">
        <f t="shared" ref="N8:N31" si="8">H8*$C8</f>
        <v>0.95726476431480745</v>
      </c>
      <c r="O8" s="26">
        <f t="shared" si="4"/>
        <v>0.95733893305198203</v>
      </c>
    </row>
    <row r="9" spans="1:23">
      <c r="A9" s="5">
        <v>46216</v>
      </c>
      <c r="B9" s="21">
        <v>4.0054794520547903</v>
      </c>
      <c r="C9" s="25">
        <v>1.0000444460492699</v>
      </c>
      <c r="D9" s="20">
        <v>0.93796763807224026</v>
      </c>
      <c r="E9" s="20">
        <v>0.93796763810634931</v>
      </c>
      <c r="F9" s="20">
        <v>0.93796763814146766</v>
      </c>
      <c r="G9" s="20">
        <v>0.93796763884001177</v>
      </c>
      <c r="H9" s="20">
        <v>0.93796831802017255</v>
      </c>
      <c r="I9" s="26">
        <v>0.93807952562658103</v>
      </c>
      <c r="J9" s="27">
        <f t="shared" si="0"/>
        <v>0.93800932702809559</v>
      </c>
      <c r="K9" s="20">
        <f t="shared" si="5"/>
        <v>0.93800932706220619</v>
      </c>
      <c r="L9" s="20">
        <f t="shared" si="6"/>
        <v>0.9380093270973261</v>
      </c>
      <c r="M9" s="20">
        <f t="shared" si="7"/>
        <v>0.93800932779590118</v>
      </c>
      <c r="N9" s="20">
        <f t="shared" si="8"/>
        <v>0.93801000700624892</v>
      </c>
      <c r="O9" s="26">
        <f t="shared" si="4"/>
        <v>0.93812121955539607</v>
      </c>
    </row>
    <row r="10" spans="1:23">
      <c r="A10" s="5">
        <v>46580</v>
      </c>
      <c r="B10" s="21">
        <v>5.0027397260273903</v>
      </c>
      <c r="C10" s="25">
        <v>1.0000444460492699</v>
      </c>
      <c r="D10" s="20">
        <v>0.91702772344190264</v>
      </c>
      <c r="E10" s="20">
        <v>0.91702772336792282</v>
      </c>
      <c r="F10" s="20">
        <v>0.91702772343901273</v>
      </c>
      <c r="G10" s="20">
        <v>0.91702772462788762</v>
      </c>
      <c r="H10" s="20">
        <v>0.91702913936667141</v>
      </c>
      <c r="I10" s="26">
        <v>0.91712844122432902</v>
      </c>
      <c r="J10" s="27">
        <f t="shared" si="0"/>
        <v>0.91706848170128064</v>
      </c>
      <c r="K10" s="20">
        <f t="shared" si="5"/>
        <v>0.91706848162729748</v>
      </c>
      <c r="L10" s="20">
        <f t="shared" si="6"/>
        <v>0.91706848169839061</v>
      </c>
      <c r="M10" s="20">
        <f t="shared" si="7"/>
        <v>0.91706848288731824</v>
      </c>
      <c r="N10" s="20">
        <f t="shared" si="8"/>
        <v>0.91706989768898162</v>
      </c>
      <c r="O10" s="26">
        <f t="shared" si="4"/>
        <v>0.91716920396021451</v>
      </c>
    </row>
    <row r="11" spans="1:23">
      <c r="A11" s="5">
        <v>46946</v>
      </c>
      <c r="B11" s="21">
        <v>6.0054794520547903</v>
      </c>
      <c r="C11" s="25">
        <v>1.0000444460492699</v>
      </c>
      <c r="D11" s="20">
        <v>0.89562711098924697</v>
      </c>
      <c r="E11" s="20">
        <v>0.8956271107476379</v>
      </c>
      <c r="F11" s="20">
        <v>0.89562711087517399</v>
      </c>
      <c r="G11" s="20">
        <v>0.89562711283380159</v>
      </c>
      <c r="H11" s="20">
        <v>0.89562970771033845</v>
      </c>
      <c r="I11" s="26">
        <v>0.89571111788568369</v>
      </c>
      <c r="J11" s="27">
        <f t="shared" si="0"/>
        <v>0.89566691807594945</v>
      </c>
      <c r="K11" s="20">
        <f t="shared" si="5"/>
        <v>0.89566691783432961</v>
      </c>
      <c r="L11" s="20">
        <f t="shared" si="6"/>
        <v>0.89566691796187137</v>
      </c>
      <c r="M11" s="20">
        <f t="shared" si="7"/>
        <v>0.895666919920586</v>
      </c>
      <c r="N11" s="20">
        <f t="shared" si="8"/>
        <v>0.89566951491245494</v>
      </c>
      <c r="O11" s="26">
        <f t="shared" si="4"/>
        <v>0.8957509287061608</v>
      </c>
    </row>
    <row r="12" spans="1:23">
      <c r="A12" s="5">
        <v>47311</v>
      </c>
      <c r="B12" s="21">
        <v>7.0054794520547903</v>
      </c>
      <c r="C12" s="25">
        <v>1.0000444460492699</v>
      </c>
      <c r="D12" s="20">
        <v>0.87397482108469582</v>
      </c>
      <c r="E12" s="20">
        <v>0.87397482060522647</v>
      </c>
      <c r="F12" s="20">
        <v>0.87397482081308664</v>
      </c>
      <c r="G12" s="20">
        <v>0.87397482387329462</v>
      </c>
      <c r="H12" s="20">
        <v>0.87397916367874784</v>
      </c>
      <c r="I12" s="26">
        <v>0.8740370041426615</v>
      </c>
      <c r="J12" s="27">
        <f t="shared" si="0"/>
        <v>0.87401366581265438</v>
      </c>
      <c r="K12" s="20">
        <f t="shared" si="5"/>
        <v>0.87401366533316371</v>
      </c>
      <c r="L12" s="20">
        <f t="shared" si="6"/>
        <v>0.8740136655410331</v>
      </c>
      <c r="M12" s="20">
        <f t="shared" si="7"/>
        <v>0.87401366860137719</v>
      </c>
      <c r="N12" s="20">
        <f t="shared" si="8"/>
        <v>0.87401800859971757</v>
      </c>
      <c r="O12" s="26">
        <f t="shared" si="4"/>
        <v>0.87407585163441137</v>
      </c>
    </row>
    <row r="13" spans="1:23">
      <c r="A13" s="5">
        <v>47676</v>
      </c>
      <c r="B13" s="21">
        <v>8.0054794520547894</v>
      </c>
      <c r="C13" s="25">
        <v>1.0000444460492699</v>
      </c>
      <c r="D13" s="20">
        <v>0.85165561399287493</v>
      </c>
      <c r="E13" s="20">
        <v>0.8516556131969687</v>
      </c>
      <c r="F13" s="20">
        <v>0.85165561351196861</v>
      </c>
      <c r="G13" s="20">
        <v>0.85165561804675471</v>
      </c>
      <c r="H13" s="20">
        <v>0.85166240964059925</v>
      </c>
      <c r="I13" s="26">
        <v>0.85168947472002765</v>
      </c>
      <c r="J13" s="27">
        <f t="shared" si="0"/>
        <v>0.85169346672025548</v>
      </c>
      <c r="K13" s="20">
        <f t="shared" si="5"/>
        <v>0.85169346592431383</v>
      </c>
      <c r="L13" s="20">
        <f t="shared" si="6"/>
        <v>0.85169346623932773</v>
      </c>
      <c r="M13" s="20">
        <f t="shared" si="7"/>
        <v>0.85169347077431545</v>
      </c>
      <c r="N13" s="20">
        <f t="shared" si="8"/>
        <v>0.85170026267001941</v>
      </c>
      <c r="O13" s="26">
        <f t="shared" si="4"/>
        <v>0.85172732895238368</v>
      </c>
    </row>
    <row r="14" spans="1:23">
      <c r="A14" s="5">
        <v>48043</v>
      </c>
      <c r="B14" s="21">
        <v>9.0109589041095894</v>
      </c>
      <c r="C14" s="25">
        <v>1.0000444460492699</v>
      </c>
      <c r="D14" s="20">
        <v>0.82869180940331033</v>
      </c>
      <c r="E14" s="20">
        <v>0.82869180820907173</v>
      </c>
      <c r="F14" s="20">
        <v>0.82869180865921621</v>
      </c>
      <c r="G14" s="20">
        <v>0.82869181506206924</v>
      </c>
      <c r="H14" s="20">
        <v>0.8287019226695902</v>
      </c>
      <c r="I14" s="26">
        <v>0.82878111312407454</v>
      </c>
      <c r="J14" s="27">
        <f t="shared" si="0"/>
        <v>0.82872864148030068</v>
      </c>
      <c r="K14" s="20">
        <f t="shared" si="5"/>
        <v>0.8287286402860089</v>
      </c>
      <c r="L14" s="20">
        <f t="shared" si="6"/>
        <v>0.82872864073617347</v>
      </c>
      <c r="M14" s="20">
        <f t="shared" si="7"/>
        <v>0.82872864713931105</v>
      </c>
      <c r="N14" s="20">
        <f t="shared" si="8"/>
        <v>0.82873875519607521</v>
      </c>
      <c r="O14" s="26">
        <f t="shared" si="4"/>
        <v>0.82881794917026241</v>
      </c>
    </row>
    <row r="15" spans="1:23">
      <c r="A15" s="5">
        <v>48407</v>
      </c>
      <c r="B15" s="21">
        <v>10.008219178082101</v>
      </c>
      <c r="C15" s="25">
        <v>1.0000444460492699</v>
      </c>
      <c r="D15" s="20">
        <v>0.80543188696142676</v>
      </c>
      <c r="E15" s="20">
        <v>0.80543188529183052</v>
      </c>
      <c r="F15" s="20">
        <v>0.80543188590319259</v>
      </c>
      <c r="G15" s="20">
        <v>0.8054318945377732</v>
      </c>
      <c r="H15" s="20">
        <v>0.80544634628471234</v>
      </c>
      <c r="I15" s="26">
        <v>0.80547248666946025</v>
      </c>
      <c r="J15" s="27">
        <f t="shared" si="0"/>
        <v>0.80546768522675816</v>
      </c>
      <c r="K15" s="20">
        <f t="shared" si="5"/>
        <v>0.80546768355708775</v>
      </c>
      <c r="L15" s="20">
        <f t="shared" si="6"/>
        <v>0.80546768416847703</v>
      </c>
      <c r="M15" s="20">
        <f t="shared" si="7"/>
        <v>0.80546769280344133</v>
      </c>
      <c r="N15" s="20">
        <f t="shared" si="8"/>
        <v>0.80548214519270356</v>
      </c>
      <c r="O15" s="26">
        <f t="shared" si="4"/>
        <v>0.80550828673928832</v>
      </c>
    </row>
    <row r="16" spans="1:23">
      <c r="A16" s="5">
        <v>48772</v>
      </c>
      <c r="B16" s="21">
        <v>11.008219178082101</v>
      </c>
      <c r="C16" s="25">
        <v>1.0000444460492699</v>
      </c>
      <c r="D16" s="20">
        <v>0.78269653211977064</v>
      </c>
      <c r="E16" s="20">
        <v>0.78269652991789018</v>
      </c>
      <c r="F16" s="20">
        <v>0.7826965307098982</v>
      </c>
      <c r="G16" s="20">
        <v>0.78269654185769433</v>
      </c>
      <c r="H16" s="20">
        <v>0.78271652547002302</v>
      </c>
      <c r="I16" s="26">
        <v>0.78267545028228147</v>
      </c>
      <c r="J16" s="27">
        <f t="shared" si="0"/>
        <v>0.78273131988840061</v>
      </c>
      <c r="K16" s="20">
        <f t="shared" si="5"/>
        <v>0.78273131768642235</v>
      </c>
      <c r="L16" s="20">
        <f t="shared" si="6"/>
        <v>0.78273131847846555</v>
      </c>
      <c r="M16" s="20">
        <f t="shared" si="7"/>
        <v>0.78273132962675707</v>
      </c>
      <c r="N16" s="20">
        <f t="shared" si="8"/>
        <v>0.78275131412727839</v>
      </c>
      <c r="O16" s="26">
        <f t="shared" si="4"/>
        <v>0.78271023711390708</v>
      </c>
    </row>
    <row r="17" spans="1:15">
      <c r="A17" s="5">
        <v>49137</v>
      </c>
      <c r="B17" s="21">
        <v>12.008219178082101</v>
      </c>
      <c r="C17" s="25">
        <v>1.0000444460492699</v>
      </c>
      <c r="D17" s="20">
        <v>0.76016956455375562</v>
      </c>
      <c r="E17" s="20">
        <v>0.76016956179994166</v>
      </c>
      <c r="F17" s="20">
        <v>0.76016956277764169</v>
      </c>
      <c r="G17" s="20">
        <v>0.76016957655352135</v>
      </c>
      <c r="H17" s="20">
        <v>0.76019643496956668</v>
      </c>
      <c r="I17" s="26">
        <v>0.76007457235941267</v>
      </c>
      <c r="J17" s="27">
        <f t="shared" si="0"/>
        <v>0.76020335108767523</v>
      </c>
      <c r="K17" s="20">
        <f t="shared" si="5"/>
        <v>0.76020334833373893</v>
      </c>
      <c r="L17" s="20">
        <f t="shared" si="6"/>
        <v>0.76020334931148237</v>
      </c>
      <c r="M17" s="20">
        <f t="shared" si="7"/>
        <v>0.76020336308797432</v>
      </c>
      <c r="N17" s="20">
        <f t="shared" si="8"/>
        <v>0.76023022269777019</v>
      </c>
      <c r="O17" s="26">
        <f t="shared" si="4"/>
        <v>0.76010835467130455</v>
      </c>
    </row>
    <row r="18" spans="1:15">
      <c r="A18" s="5">
        <v>49502</v>
      </c>
      <c r="B18" s="21">
        <v>13.008219178082101</v>
      </c>
      <c r="C18" s="25">
        <v>1.0000444460492699</v>
      </c>
      <c r="D18" s="20">
        <v>0.73877900994914347</v>
      </c>
      <c r="E18" s="20">
        <v>0.73877900668008822</v>
      </c>
      <c r="F18" s="20">
        <v>0.73877900782906991</v>
      </c>
      <c r="G18" s="20">
        <v>0.73877902410551588</v>
      </c>
      <c r="H18" s="20">
        <v>0.73881423616156539</v>
      </c>
      <c r="I18" s="26">
        <v>0.73859675986976769</v>
      </c>
      <c r="J18" s="27">
        <f t="shared" si="0"/>
        <v>0.73881184575741921</v>
      </c>
      <c r="K18" s="20">
        <f t="shared" si="5"/>
        <v>0.73881184248821874</v>
      </c>
      <c r="L18" s="20">
        <f t="shared" si="6"/>
        <v>0.7388118436372515</v>
      </c>
      <c r="M18" s="20">
        <f t="shared" si="7"/>
        <v>0.73881185991442089</v>
      </c>
      <c r="N18" s="20">
        <f t="shared" si="8"/>
        <v>0.73884707353550716</v>
      </c>
      <c r="O18" s="26">
        <f t="shared" si="4"/>
        <v>0.73862958757774744</v>
      </c>
    </row>
    <row r="19" spans="1:15">
      <c r="A19" s="5">
        <v>49870</v>
      </c>
      <c r="B19" s="21">
        <v>14.016438356164301</v>
      </c>
      <c r="C19" s="25">
        <v>1.0000444460492699</v>
      </c>
      <c r="D19" s="20">
        <v>0.7188288115010002</v>
      </c>
      <c r="E19" s="20">
        <v>0.71882880781575464</v>
      </c>
      <c r="F19" s="20">
        <v>0.71882880910285551</v>
      </c>
      <c r="G19" s="20">
        <v>0.71882882744452392</v>
      </c>
      <c r="H19" s="20">
        <v>0.71887395945456012</v>
      </c>
      <c r="I19" s="26">
        <v>0.71863740591193315</v>
      </c>
      <c r="J19" s="27">
        <f t="shared" si="0"/>
        <v>0.71886076060177284</v>
      </c>
      <c r="K19" s="20">
        <f t="shared" si="5"/>
        <v>0.71886075691636342</v>
      </c>
      <c r="L19" s="20">
        <f t="shared" si="6"/>
        <v>0.71886075820352158</v>
      </c>
      <c r="M19" s="20">
        <f t="shared" si="7"/>
        <v>0.71886077654600511</v>
      </c>
      <c r="N19" s="20">
        <f t="shared" si="8"/>
        <v>0.71890591056198083</v>
      </c>
      <c r="O19" s="26">
        <f t="shared" si="4"/>
        <v>0.71866934650548353</v>
      </c>
    </row>
    <row r="20" spans="1:15">
      <c r="A20" s="5">
        <v>50234</v>
      </c>
      <c r="B20" s="21">
        <v>15.013698630136901</v>
      </c>
      <c r="C20" s="25">
        <v>1.0000444460492699</v>
      </c>
      <c r="D20" s="20">
        <v>0.70110008535309731</v>
      </c>
      <c r="E20" s="20">
        <v>0.70110008142036284</v>
      </c>
      <c r="F20" s="20">
        <v>0.70110008278668423</v>
      </c>
      <c r="G20" s="20">
        <v>0.7011001024490624</v>
      </c>
      <c r="H20" s="20">
        <v>0.70115674864986777</v>
      </c>
      <c r="I20" s="26">
        <v>0.700838160456415</v>
      </c>
      <c r="J20" s="27">
        <f t="shared" si="0"/>
        <v>0.70113124648203407</v>
      </c>
      <c r="K20" s="20">
        <f t="shared" si="5"/>
        <v>0.70113124254912473</v>
      </c>
      <c r="L20" s="20">
        <f t="shared" si="6"/>
        <v>0.70113124391550685</v>
      </c>
      <c r="M20" s="20">
        <f t="shared" si="7"/>
        <v>0.70113126357875899</v>
      </c>
      <c r="N20" s="20">
        <f t="shared" si="8"/>
        <v>0.70118791229726418</v>
      </c>
      <c r="O20" s="26">
        <f t="shared" si="4"/>
        <v>0.7008693099438249</v>
      </c>
    </row>
    <row r="21" spans="1:15">
      <c r="A21" s="5">
        <v>50598</v>
      </c>
      <c r="B21" s="21">
        <v>16.010958904109501</v>
      </c>
      <c r="C21" s="25">
        <v>1.0000444460492699</v>
      </c>
      <c r="D21" s="20">
        <v>0.68485893428634237</v>
      </c>
      <c r="E21" s="20">
        <v>0.68485893035554624</v>
      </c>
      <c r="F21" s="20">
        <v>0.68485893171728884</v>
      </c>
      <c r="G21" s="20">
        <v>0.68485895158184751</v>
      </c>
      <c r="H21" s="20">
        <v>0.68492870734616917</v>
      </c>
      <c r="I21" s="26">
        <v>0.68446812486706743</v>
      </c>
      <c r="J21" s="27">
        <f t="shared" si="0"/>
        <v>0.68488937356027857</v>
      </c>
      <c r="K21" s="20">
        <f t="shared" si="5"/>
        <v>0.6848893696293078</v>
      </c>
      <c r="L21" s="20">
        <f t="shared" si="6"/>
        <v>0.68488937099111091</v>
      </c>
      <c r="M21" s="20">
        <f t="shared" si="7"/>
        <v>0.68488939085655243</v>
      </c>
      <c r="N21" s="20">
        <f t="shared" si="8"/>
        <v>0.68495914972124228</v>
      </c>
      <c r="O21" s="26">
        <f t="shared" si="4"/>
        <v>0.68449854677106892</v>
      </c>
    </row>
    <row r="22" spans="1:15">
      <c r="A22" s="5">
        <v>50963</v>
      </c>
      <c r="B22" s="21">
        <v>17.010958904109501</v>
      </c>
      <c r="C22" s="25">
        <v>1.0000444460492699</v>
      </c>
      <c r="D22" s="20">
        <v>0.67034482838454368</v>
      </c>
      <c r="E22" s="20">
        <v>0.67034482478768431</v>
      </c>
      <c r="F22" s="20">
        <v>0.67034482603440104</v>
      </c>
      <c r="G22" s="20">
        <v>0.67034484464402266</v>
      </c>
      <c r="H22" s="20">
        <v>0.6704293294454351</v>
      </c>
      <c r="I22" s="26">
        <v>0.66981104102760358</v>
      </c>
      <c r="J22" s="27">
        <f t="shared" si="0"/>
        <v>0.67037462256381386</v>
      </c>
      <c r="K22" s="20">
        <f t="shared" si="5"/>
        <v>0.67037461896679462</v>
      </c>
      <c r="L22" s="20">
        <f t="shared" si="6"/>
        <v>0.67037462021356675</v>
      </c>
      <c r="M22" s="20">
        <f t="shared" si="7"/>
        <v>0.67037463882401549</v>
      </c>
      <c r="N22" s="20">
        <f t="shared" si="8"/>
        <v>0.67045912738044366</v>
      </c>
      <c r="O22" s="26">
        <f t="shared" si="4"/>
        <v>0.66984081148213459</v>
      </c>
    </row>
    <row r="23" spans="1:15">
      <c r="A23" s="5">
        <v>51329</v>
      </c>
      <c r="B23" s="21">
        <v>18.013698630136901</v>
      </c>
      <c r="C23" s="25">
        <v>1.0000444460492699</v>
      </c>
      <c r="D23" s="20">
        <v>0.65742673384840389</v>
      </c>
      <c r="E23" s="20">
        <v>0.65742673096469961</v>
      </c>
      <c r="F23" s="20">
        <v>0.65742673196585233</v>
      </c>
      <c r="G23" s="20">
        <v>0.65742674757272301</v>
      </c>
      <c r="H23" s="20">
        <v>0.6575275383057525</v>
      </c>
      <c r="I23" s="26">
        <v>0.65673579124496839</v>
      </c>
      <c r="J23" s="27">
        <f t="shared" si="0"/>
        <v>0.65745595386940792</v>
      </c>
      <c r="K23" s="20">
        <f t="shared" si="5"/>
        <v>0.65745595098557541</v>
      </c>
      <c r="L23" s="20">
        <f t="shared" si="6"/>
        <v>0.65745595198677265</v>
      </c>
      <c r="M23" s="20">
        <f t="shared" si="7"/>
        <v>0.657455967594337</v>
      </c>
      <c r="N23" s="20">
        <f t="shared" si="8"/>
        <v>0.65755676280711639</v>
      </c>
      <c r="O23" s="26">
        <f t="shared" si="4"/>
        <v>0.65676498055630339</v>
      </c>
    </row>
    <row r="24" spans="1:15">
      <c r="A24" s="5">
        <v>51694</v>
      </c>
      <c r="B24" s="21">
        <v>19.013698630136901</v>
      </c>
      <c r="C24" s="25">
        <v>1.0000444460492699</v>
      </c>
      <c r="D24" s="20">
        <v>0.64577322045589336</v>
      </c>
      <c r="E24" s="20">
        <v>0.64577321875447913</v>
      </c>
      <c r="F24" s="20">
        <v>0.6457732193469331</v>
      </c>
      <c r="G24" s="20">
        <v>0.64577322987766028</v>
      </c>
      <c r="H24" s="20">
        <v>0.64589186662970111</v>
      </c>
      <c r="I24" s="26">
        <v>0.6449111569909729</v>
      </c>
      <c r="J24" s="27">
        <f t="shared" si="0"/>
        <v>0.64580192252426694</v>
      </c>
      <c r="K24" s="20">
        <f t="shared" si="5"/>
        <v>0.6458019208227771</v>
      </c>
      <c r="L24" s="20">
        <f t="shared" si="6"/>
        <v>0.64580192141525739</v>
      </c>
      <c r="M24" s="20">
        <f t="shared" si="7"/>
        <v>0.64580193194645263</v>
      </c>
      <c r="N24" s="20">
        <f t="shared" si="8"/>
        <v>0.64592057397142832</v>
      </c>
      <c r="O24" s="26">
        <f t="shared" si="4"/>
        <v>0.64493982074403122</v>
      </c>
    </row>
    <row r="25" spans="1:15">
      <c r="A25" s="5">
        <v>52061</v>
      </c>
      <c r="B25" s="21">
        <v>20.019178082191701</v>
      </c>
      <c r="C25" s="25">
        <v>1.0000444460492699</v>
      </c>
      <c r="D25" s="20">
        <v>0.63520827988569217</v>
      </c>
      <c r="E25" s="20">
        <v>0.63520827988569206</v>
      </c>
      <c r="F25" s="20">
        <v>0.63520827988569217</v>
      </c>
      <c r="G25" s="20">
        <v>0.63520827995635898</v>
      </c>
      <c r="H25" s="20">
        <v>0.63534625985021553</v>
      </c>
      <c r="I25" s="26">
        <v>0.63424325968494244</v>
      </c>
      <c r="J25" s="27">
        <f t="shared" si="0"/>
        <v>0.63523651238419665</v>
      </c>
      <c r="K25" s="20">
        <f t="shared" si="5"/>
        <v>0.63523651238419654</v>
      </c>
      <c r="L25" s="20">
        <f t="shared" si="6"/>
        <v>0.63523651238419665</v>
      </c>
      <c r="M25" s="20">
        <f t="shared" si="7"/>
        <v>0.63523651245486656</v>
      </c>
      <c r="N25" s="20">
        <f t="shared" si="8"/>
        <v>0.63537449848138428</v>
      </c>
      <c r="O25" s="26">
        <f t="shared" si="4"/>
        <v>0.63427144929211154</v>
      </c>
    </row>
    <row r="26" spans="1:15">
      <c r="A26" s="5">
        <v>53885</v>
      </c>
      <c r="B26" s="21">
        <v>25.016438356164301</v>
      </c>
      <c r="C26" s="25">
        <v>1.0000444460492699</v>
      </c>
      <c r="D26" s="20">
        <v>0.59132883396078728</v>
      </c>
      <c r="E26" s="20">
        <v>0.59132883396078717</v>
      </c>
      <c r="F26" s="20">
        <v>0.59132883396078728</v>
      </c>
      <c r="G26" s="20">
        <v>0.59132883402657266</v>
      </c>
      <c r="H26" s="20">
        <v>0.59145728243054918</v>
      </c>
      <c r="I26" s="26">
        <v>0.59042925412809355</v>
      </c>
      <c r="J26" s="27">
        <f t="shared" si="0"/>
        <v>0.59135511619127623</v>
      </c>
      <c r="K26" s="20">
        <f t="shared" si="5"/>
        <v>0.59135511619127612</v>
      </c>
      <c r="L26" s="20">
        <f t="shared" si="6"/>
        <v>0.59135511619127623</v>
      </c>
      <c r="M26" s="20">
        <f t="shared" si="7"/>
        <v>0.59135511625706449</v>
      </c>
      <c r="N26" s="20">
        <f t="shared" si="8"/>
        <v>0.59148357037006516</v>
      </c>
      <c r="O26" s="26">
        <f t="shared" si="4"/>
        <v>0.59045549637581296</v>
      </c>
    </row>
    <row r="27" spans="1:15">
      <c r="A27" s="5">
        <v>55712</v>
      </c>
      <c r="B27" s="21">
        <v>30.021917808219101</v>
      </c>
      <c r="C27" s="25">
        <v>1.0000444460492699</v>
      </c>
      <c r="D27" s="20">
        <v>0.55879670685547633</v>
      </c>
      <c r="E27" s="20">
        <v>0.55888838772838656</v>
      </c>
      <c r="F27" s="20">
        <v>0.5590259574812344</v>
      </c>
      <c r="G27" s="20">
        <v>0.55907195461858883</v>
      </c>
      <c r="H27" s="20">
        <v>0.55930051313034512</v>
      </c>
      <c r="I27" s="26">
        <v>0.55779469673686044</v>
      </c>
      <c r="J27" s="27">
        <f t="shared" si="0"/>
        <v>0.55882154316144106</v>
      </c>
      <c r="K27" s="20">
        <f t="shared" si="5"/>
        <v>0.55891322810920396</v>
      </c>
      <c r="L27" s="20">
        <f t="shared" si="6"/>
        <v>0.55905080397648377</v>
      </c>
      <c r="M27" s="20">
        <f t="shared" si="7"/>
        <v>0.55909680315822918</v>
      </c>
      <c r="N27" s="20">
        <f t="shared" si="8"/>
        <v>0.55932537182850839</v>
      </c>
      <c r="O27" s="26">
        <f t="shared" si="4"/>
        <v>0.55781948850743412</v>
      </c>
    </row>
    <row r="28" spans="1:15">
      <c r="A28" s="5">
        <v>57538</v>
      </c>
      <c r="B28" s="21">
        <v>35.024657534246501</v>
      </c>
      <c r="C28" s="25">
        <v>1.0000444460492699</v>
      </c>
      <c r="D28" s="20">
        <v>0.52895892785981691</v>
      </c>
      <c r="E28" s="20">
        <v>0.52915902087116196</v>
      </c>
      <c r="F28" s="20">
        <v>0.52945932640555826</v>
      </c>
      <c r="G28" s="20">
        <v>0.52955962465282558</v>
      </c>
      <c r="H28" s="20">
        <v>0.52990852122386622</v>
      </c>
      <c r="I28" s="26">
        <v>0.52782259332972981</v>
      </c>
      <c r="J28" s="27">
        <f t="shared" si="0"/>
        <v>0.52898243799438627</v>
      </c>
      <c r="K28" s="20">
        <f t="shared" si="5"/>
        <v>0.52918253989907515</v>
      </c>
      <c r="L28" s="20">
        <f t="shared" si="6"/>
        <v>0.52948285878086609</v>
      </c>
      <c r="M28" s="20">
        <f t="shared" si="7"/>
        <v>0.52958316148599427</v>
      </c>
      <c r="N28" s="20">
        <f t="shared" si="8"/>
        <v>0.5299320735641091</v>
      </c>
      <c r="O28" s="26">
        <f t="shared" si="4"/>
        <v>0.52784605295871867</v>
      </c>
    </row>
    <row r="29" spans="1:15">
      <c r="A29" s="5">
        <v>59364</v>
      </c>
      <c r="B29" s="21">
        <v>40.027397260273901</v>
      </c>
      <c r="C29" s="25">
        <v>1.0000444460492699</v>
      </c>
      <c r="D29" s="20">
        <v>0.50237365289259295</v>
      </c>
      <c r="E29" s="20">
        <v>0.502701176043445</v>
      </c>
      <c r="F29" s="20">
        <v>0.50319286118036299</v>
      </c>
      <c r="G29" s="20">
        <v>0.50335686307178285</v>
      </c>
      <c r="H29" s="20">
        <v>0.50384918952720503</v>
      </c>
      <c r="I29" s="26">
        <v>0.50106569279954849</v>
      </c>
      <c r="J29" s="27">
        <f t="shared" si="0"/>
        <v>0.50239598141672126</v>
      </c>
      <c r="K29" s="20">
        <f t="shared" si="5"/>
        <v>0.50272351912468349</v>
      </c>
      <c r="L29" s="20">
        <f t="shared" si="6"/>
        <v>0.50321522611506331</v>
      </c>
      <c r="M29" s="20">
        <f t="shared" si="7"/>
        <v>0.50337923529571926</v>
      </c>
      <c r="N29" s="20">
        <f t="shared" si="8"/>
        <v>0.50387158363310736</v>
      </c>
      <c r="O29" s="26">
        <f t="shared" si="4"/>
        <v>0.50108796319001814</v>
      </c>
    </row>
    <row r="30" spans="1:15">
      <c r="A30" s="5">
        <v>63017</v>
      </c>
      <c r="B30" s="21">
        <v>50.035616438356101</v>
      </c>
      <c r="C30" s="25">
        <v>1.0000444460492699</v>
      </c>
      <c r="D30" s="20">
        <v>0.46261747889284949</v>
      </c>
      <c r="E30" s="20">
        <v>0.46320366026633597</v>
      </c>
      <c r="F30" s="20">
        <v>0.46412713064460098</v>
      </c>
      <c r="G30" s="20">
        <v>0.4651444102710155</v>
      </c>
      <c r="H30" s="20">
        <v>0.46615886207686102</v>
      </c>
      <c r="I30" s="26">
        <v>0.46000277084258262</v>
      </c>
      <c r="J30" s="27">
        <f t="shared" si="0"/>
        <v>0.46263804041210949</v>
      </c>
      <c r="K30" s="20">
        <f t="shared" si="5"/>
        <v>0.46322424783904215</v>
      </c>
      <c r="L30" s="20">
        <f t="shared" si="6"/>
        <v>0.46414775926191709</v>
      </c>
      <c r="M30" s="20">
        <f t="shared" si="7"/>
        <v>0.46516508410239205</v>
      </c>
      <c r="N30" s="20">
        <f t="shared" si="8"/>
        <v>0.4661795809966125</v>
      </c>
      <c r="O30" s="26">
        <f t="shared" si="4"/>
        <v>0.46002321614839981</v>
      </c>
    </row>
    <row r="31" spans="1:15">
      <c r="A31" s="5">
        <v>66669</v>
      </c>
      <c r="B31" s="21">
        <v>60.043835616438301</v>
      </c>
      <c r="C31" s="25">
        <v>1.0000444460492699</v>
      </c>
      <c r="D31" s="20">
        <v>0.42286130489310603</v>
      </c>
      <c r="E31" s="20">
        <v>0.42370614448922711</v>
      </c>
      <c r="F31" s="20">
        <v>0.42506140010883897</v>
      </c>
      <c r="G31" s="20">
        <v>0.42693195747024798</v>
      </c>
      <c r="H31" s="20">
        <v>0.42846853462651702</v>
      </c>
      <c r="I31" s="26">
        <v>0.42168135874896218</v>
      </c>
      <c r="J31" s="27">
        <f t="shared" si="0"/>
        <v>0.42288009940749766</v>
      </c>
      <c r="K31" s="20">
        <f t="shared" si="5"/>
        <v>0.42372497655340102</v>
      </c>
      <c r="L31" s="20">
        <f t="shared" si="6"/>
        <v>0.42508029240877093</v>
      </c>
      <c r="M31" s="20">
        <f t="shared" si="7"/>
        <v>0.42695093290906461</v>
      </c>
      <c r="N31" s="20">
        <f t="shared" si="8"/>
        <v>0.42848757836011764</v>
      </c>
      <c r="O31" s="26">
        <f t="shared" si="4"/>
        <v>0.42170010081940934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Original</vt:lpstr>
      <vt:lpstr>SSP119</vt:lpstr>
      <vt:lpstr>SSP126</vt:lpstr>
      <vt:lpstr>SSP245</vt:lpstr>
      <vt:lpstr>SSP370</vt:lpstr>
      <vt:lpstr>SSP585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Cathy</cp:lastModifiedBy>
  <dcterms:created xsi:type="dcterms:W3CDTF">2022-07-30T07:14:58Z</dcterms:created>
  <dcterms:modified xsi:type="dcterms:W3CDTF">2022-09-27T07:43:34Z</dcterms:modified>
</cp:coreProperties>
</file>